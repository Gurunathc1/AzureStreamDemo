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defaultThemeVersion="124226"/>
  <mc:AlternateContent xmlns:mc="http://schemas.openxmlformats.org/markup-compatibility/2006">
    <mc:Choice Requires="x15">
      <x15ac:absPath xmlns:x15ac="http://schemas.microsoft.com/office/spreadsheetml/2010/11/ac" url="https://d.docs.live.net/bb8ae390588021ff/Desktop/iPad/Israel/VF/Electrical FAT/2/"/>
    </mc:Choice>
  </mc:AlternateContent>
  <xr:revisionPtr revIDLastSave="3" documentId="11_584CC913DBCBCBCAFAB9D4159F8A4E346E0DD244" xr6:coauthVersionLast="47" xr6:coauthVersionMax="47" xr10:uidLastSave="{44782141-E62A-4B27-9C63-3CDD77105ACA}"/>
  <bookViews>
    <workbookView xWindow="-108" yWindow="-108" windowWidth="23256" windowHeight="12456" activeTab="3" xr2:uid="{00000000-000D-0000-FFFF-FFFF00000000}"/>
  </bookViews>
  <sheets>
    <sheet name="Rev. History" sheetId="2" r:id="rId1"/>
    <sheet name="Process Panel FAT" sheetId="1" r:id="rId2"/>
    <sheet name="Freeze Panel FAT" sheetId="3" r:id="rId3"/>
    <sheet name="Process Loop Startup " sheetId="5" r:id="rId4"/>
    <sheet name="Freeze Loop Startup" sheetId="6" r:id="rId5"/>
  </sheets>
  <definedNames>
    <definedName name="_xlnm.Print_Area" localSheetId="4">'Freeze Loop Startup'!$A$1:$C$33</definedName>
    <definedName name="_xlnm.Print_Area" localSheetId="2">'Freeze Panel FAT'!$A$1:$C$55</definedName>
    <definedName name="_xlnm.Print_Area" localSheetId="3">'Process Loop Startup '!$A$1:$C$24</definedName>
    <definedName name="Z_62F9007A_40E6_4FE3_8B5D_1D2112975F8B_.wvu.PrintArea" localSheetId="4" hidden="1">'Freeze Loop Startup'!$A$1:$C$22</definedName>
    <definedName name="Z_62F9007A_40E6_4FE3_8B5D_1D2112975F8B_.wvu.PrintArea" localSheetId="3" hidden="1">'Process Loop Startup '!$A$1:$C$22</definedName>
    <definedName name="Z_721EF9EF_3029_4100_B6EC_189D68E07F85_.wvu.PrintArea" localSheetId="4" hidden="1">'Freeze Loop Startup'!$A$1:$C$22</definedName>
    <definedName name="Z_721EF9EF_3029_4100_B6EC_189D68E07F85_.wvu.PrintArea" localSheetId="3" hidden="1">'Process Loop Startup '!$A$1:$C$22</definedName>
    <definedName name="Z_D2631310_2AAB_4AD9_83FC_D9ED46DA1CCA_.wvu.PrintArea" localSheetId="4" hidden="1">'Freeze Loop Startup'!$A$1:$C$22</definedName>
    <definedName name="Z_D2631310_2AAB_4AD9_83FC_D9ED46DA1CCA_.wvu.PrintArea" localSheetId="3" hidden="1">'Process Loop Startup '!$A$1:$C$22</definedName>
  </definedNames>
  <calcPr calcId="191029"/>
  <customWorkbookViews>
    <customWorkbookView name="Picard, Craig - Personal View" guid="{C144DD5F-CB5B-452B-9253-36DD0BB64C69}" mergeInterval="0" personalView="1" maximized="1" xWindow="-8" yWindow="-8" windowWidth="1936" windowHeight="1176" activeSheetId="2"/>
    <customWorkbookView name="Armas, Josune - Personal View" guid="{2C46864D-45CB-4097-A547-9A71A1FFB81E}" mergeInterval="0" personalView="1" maximized="1" xWindow="-8" yWindow="-8" windowWidth="1382" windowHeight="744" activeSheetId="1"/>
    <customWorkbookView name="Christenson, Patrick L - Personal View" guid="{A06FE673-82CD-45C1-A487-0B9B2CBCEB50}" mergeInterval="0" personalView="1" maximized="1" xWindow="-8" yWindow="-8" windowWidth="1376" windowHeight="744" activeSheetId="1"/>
    <customWorkbookView name="Brown, Ryan J - Personal View" guid="{CEF3F8CE-CF6D-440C-BD88-DA5C13A29E12}" mergeInterval="0" personalView="1" xWindow="2156" yWindow="93" windowWidth="1440" windowHeight="83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8" i="1" s="1"/>
  <c r="A9" i="1" s="1"/>
  <c r="A10" i="1" s="1"/>
  <c r="A11" i="1" s="1"/>
  <c r="A12" i="1" s="1"/>
  <c r="A13" i="1" s="1"/>
  <c r="A14" i="1" s="1"/>
  <c r="A15" i="1" s="1"/>
  <c r="A16" i="1" s="1"/>
  <c r="A18" i="1" s="1"/>
  <c r="A19" i="1" s="1"/>
  <c r="A20" i="1" s="1"/>
  <c r="A21" i="1" s="1"/>
  <c r="A22" i="1" s="1"/>
  <c r="A23" i="1" s="1"/>
  <c r="A24" i="1" s="1"/>
  <c r="A25" i="1" s="1"/>
  <c r="A26" i="1" s="1"/>
  <c r="A27" i="1" s="1"/>
  <c r="A28" i="1" s="1"/>
  <c r="A29" i="1" s="1"/>
  <c r="A30" i="1" s="1"/>
  <c r="A31" i="1" s="1"/>
  <c r="A3" i="3"/>
  <c r="A4" i="3" s="1"/>
  <c r="A5" i="3" s="1"/>
  <c r="A6" i="3" s="1"/>
  <c r="A7" i="3" s="1"/>
  <c r="A8" i="3" s="1"/>
  <c r="A9" i="3" s="1"/>
  <c r="A10" i="3" s="1"/>
  <c r="A11" i="3" s="1"/>
  <c r="A12" i="3" s="1"/>
  <c r="A13" i="3" s="1"/>
  <c r="A14" i="3" s="1"/>
  <c r="A15" i="3" s="1"/>
  <c r="A16" i="3" s="1"/>
  <c r="A17" i="3" s="1"/>
  <c r="A18" i="3" s="1"/>
  <c r="A33" i="1" l="1"/>
  <c r="A34" i="1" s="1"/>
  <c r="A35" i="1" s="1"/>
  <c r="A36" i="1" s="1"/>
  <c r="A37" i="1" s="1"/>
  <c r="A38" i="1" s="1"/>
  <c r="A39"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7" i="1" s="1"/>
  <c r="A68" i="1" s="1"/>
  <c r="A69" i="1" s="1"/>
  <c r="A19" i="3"/>
  <c r="A21" i="3" s="1"/>
  <c r="A20" i="3"/>
</calcChain>
</file>

<file path=xl/sharedStrings.xml><?xml version="1.0" encoding="utf-8"?>
<sst xmlns="http://schemas.openxmlformats.org/spreadsheetml/2006/main" count="270" uniqueCount="204">
  <si>
    <t>Power down panel, re-term wire, re-energize panel</t>
  </si>
  <si>
    <t>Test each loop for functionality and alarms.  For each loop:</t>
  </si>
  <si>
    <t>Install heat trace tape to load side of contactor, connect shield to ground.</t>
  </si>
  <si>
    <t>Turn breaker on</t>
  </si>
  <si>
    <t>Set PID value to RTD fault setting (25%).</t>
  </si>
  <si>
    <t>Place ALL PID Loops back in AUTO.</t>
  </si>
  <si>
    <t>Verify ALL breakers are OFF and ALL loops IN-ACTIVE.</t>
  </si>
  <si>
    <t>Connect RTD and heat tape to next loop to be tested. Repeat Steps in this section until ALL loops in panel have been tested.</t>
  </si>
  <si>
    <t>Verify schematics for panel are located within the panel.</t>
  </si>
  <si>
    <t>Heat sink failure alarm</t>
  </si>
  <si>
    <t>Confirm SCR output light is flashing green. (100% SCR output light is steady green light)</t>
  </si>
  <si>
    <t>Reset latched alarm and confirm alarm condition clears on Cimplicity screen and local panel touch-screen (if applicable).  Change low alarm SP value back to Global value if changed to clear alarm.</t>
  </si>
  <si>
    <t>Reset latched alarm and confirm alarm condition clears on Cimplicity screen and local panel touch-screen (if applicable).  Change high alarm  SP value back to Global value if changed to clear alarm.</t>
  </si>
  <si>
    <t>Complete</t>
  </si>
  <si>
    <t>Final Steps</t>
  </si>
  <si>
    <t>Intel Electrical to provide test RTD (100 Ω)</t>
  </si>
  <si>
    <t>Confirm process variable (PV) temperature (any value other than 1562°F) read at FMS</t>
  </si>
  <si>
    <t>Change high alarm SP value to a value 15° lower than the PV temperature reading to create a high temperature alarm. Confirm Cimplicity animation changes to indicate alarm condition. Confirm local panel touch-screen indicates alarm condition (if applicable).</t>
  </si>
  <si>
    <t>Change high alarm setpoint value back to  Global value. (NOTE: If alarm condition still exists, temporarily change the high alarm SP to a value 15° higher than the PV temperature reading. Confirm alarm stays latched on Cimplicity screen and local panel touch-screen (if applicable).</t>
  </si>
  <si>
    <t>Ensure dip switches on ground fault sensing modules are in the following positions: Up/Down/Up/Down Up/Up/Up/Up</t>
  </si>
  <si>
    <t>Verify that the test button on each ground fault device in the panel initiates a GF test (hold for ~5 sec)</t>
  </si>
  <si>
    <t>Close breaker and activate all loops</t>
  </si>
  <si>
    <t>Ground fault sensing device should initiate ground fault test and isolate that loop.</t>
  </si>
  <si>
    <t>Disconnect single phase load</t>
  </si>
  <si>
    <t>De-term wire ID 72 from PLC AC Input Card slot 5, Input 2</t>
  </si>
  <si>
    <t>Power down panel</t>
  </si>
  <si>
    <t>Attempt to reset alarm (should not clear)</t>
  </si>
  <si>
    <t>Re-energize panel</t>
  </si>
  <si>
    <t>Confirm normal panel status in Cimplicity (20-30sec PLC reboot)</t>
  </si>
  <si>
    <t>Activate loop through FMS screen and verify that the contactor closes.</t>
  </si>
  <si>
    <t>Create WO to FMS: Electrical process panel FAT complete, please take the panel heat sink and communications alarm out of future.  Assign panel paging to electrical resource.</t>
  </si>
  <si>
    <t>One electrician should be logged on Cimplicity and one electrician shall remain at heat trace panel.</t>
  </si>
  <si>
    <t xml:space="preserve"> Ground Fault Test</t>
  </si>
  <si>
    <t>Record Global parameters, found on main screen top left</t>
  </si>
  <si>
    <t>Verify that the GF Test button located under Utilities in Cimplicity initiates a GF test</t>
  </si>
  <si>
    <t>Connect minimum 30mA 120v load to load side of loop contactor on the non-SSR controlled phase to ground for an ODD loop circuit (verify using schematic in panel). NOTE: This will test ground fault sensing device</t>
  </si>
  <si>
    <t>Verify Cimplicity shows a ground fault alarm for loop tested</t>
  </si>
  <si>
    <t>Move 120v load device to non-SSR controlled phase on an EVEN loop</t>
  </si>
  <si>
    <t>Verify Cimplicity shows a ground fault alarm</t>
  </si>
  <si>
    <t>Confirm heat sink alarm in Cimplicity (heat sink alarm should latch)</t>
  </si>
  <si>
    <t>Select ON for global parameters on each loop and confirm each loop's settings are auto-populated correctly</t>
  </si>
  <si>
    <t>Turn "off" global parameters on all loops</t>
  </si>
  <si>
    <t>Connect RTD leads to a loop (tape to the RTD to heat trace)</t>
  </si>
  <si>
    <t>Measure amp on load side of contactor and leave meter on for monitoring</t>
  </si>
  <si>
    <t>Trigger the low amp alarm by changing the setpoint to a value greater than the amp reading and initiate a GF test.</t>
  </si>
  <si>
    <t>Return the low amp setpoint to a value below the amp reading and initiate a GF test. Verify that the alarm clears.</t>
  </si>
  <si>
    <t xml:space="preserve">Through FMS, change set point PID to manual and turn output percentage to 50% and verify amp readings. Then change to 100%. Confirm change in amp readings for each output using clamp-on ammeter on load side of contactor.  </t>
  </si>
  <si>
    <t>Verify amp reading on loop screen, requires selecting ground fault test from utilities screen to update amp value on loop screen</t>
  </si>
  <si>
    <t>Change PID output to 100% Confirm SCR output light is green steady.</t>
  </si>
  <si>
    <t>To test circuit RTD failure: Determ a wire from RTD.  The SCR will go to the RTD FAULT % OUTPUT (25%).  Temperature PV will go out of control (1500+). Confirm amp output of contactor changes to value recorded earlier. Temperature and RTD Fault alarms will be generated. NOTE: PID Output % will still show 100 but PLC will reduce to 25%</t>
  </si>
  <si>
    <t>Reconnect RTD and confirm temperature and RTD Fault alarms will not clear until reset. Once reset PID Output will go to 100% again. Noted by SCR steady green light</t>
  </si>
  <si>
    <t>Rev #</t>
  </si>
  <si>
    <t>Description of Change</t>
  </si>
  <si>
    <t>Author</t>
  </si>
  <si>
    <t>WP #</t>
  </si>
  <si>
    <t>Date</t>
  </si>
  <si>
    <t>DMS Admin</t>
  </si>
  <si>
    <t>System</t>
  </si>
  <si>
    <t>J. Armas</t>
  </si>
  <si>
    <t xml:space="preserve">Published </t>
  </si>
  <si>
    <t>NA</t>
  </si>
  <si>
    <t>Streamlined loop startups and required Cimplicity setup before post-insulation for process circuits</t>
  </si>
  <si>
    <t>Duplicated freeze loop startup, replaced with process loop startup changes from last rev</t>
  </si>
  <si>
    <t>Added process loop reaching set point to loop startup,  and removed setpoint programming from post-insulation (done at pre)</t>
  </si>
  <si>
    <t>Full review and update of document by team.  Adding RTD resistance chart for reference.  Re-certify on all procedures.</t>
  </si>
  <si>
    <t>Red line update multiple sections</t>
  </si>
  <si>
    <t>P. Christenson</t>
  </si>
  <si>
    <t>Updated footers and rev histories</t>
  </si>
  <si>
    <t>Updated all documents for RTD and amperage testing section</t>
  </si>
  <si>
    <t>re worded line # 3</t>
  </si>
  <si>
    <t>R. Brown</t>
  </si>
  <si>
    <t>1839_FAT_01</t>
  </si>
  <si>
    <t>Process/Freeze Panel Loop/FAT Procedure</t>
  </si>
  <si>
    <t>Verify the following items have been bullet proofed (protected) from accidental activation/strike</t>
  </si>
  <si>
    <t xml:space="preserve">       Display Panels</t>
  </si>
  <si>
    <t xml:space="preserve">       Power switches and buttons as necessary.</t>
  </si>
  <si>
    <t>Verify panel schematic is present in panel.</t>
  </si>
  <si>
    <t>Perform a visual check for loose wires or relays inside cabinet</t>
  </si>
  <si>
    <t>Verify internal EEW cover in place</t>
  </si>
  <si>
    <t>Verify the RTD is reading an accurate value per outside air temp</t>
  </si>
  <si>
    <t xml:space="preserve">     P2 = 0 (ENG UNITS DEG C OR DEG F AS SELECTED)</t>
  </si>
  <si>
    <t xml:space="preserve">     P3 = 999 (ENG UNITS DEG C OR DEG F AS SELECTED)</t>
  </si>
  <si>
    <t xml:space="preserve">     P4 = REV</t>
  </si>
  <si>
    <t xml:space="preserve">     P5 = 4 (Alarm 1 output – Instrument failure alarm)</t>
  </si>
  <si>
    <t>OPERATION PARAMETER:</t>
  </si>
  <si>
    <t xml:space="preserve">     PB = 0  </t>
  </si>
  <si>
    <t>Setup = Pb_P 0.0</t>
  </si>
  <si>
    <t>Config = input PTF (ENG UNITS DEG C OR DEG F AS SELECTED) (Unlock code for Config is 20)</t>
  </si>
  <si>
    <t xml:space="preserve">         ruL = 999 (ENG UNITS DEG C OR DEG F AS SELECTED)</t>
  </si>
  <si>
    <t xml:space="preserve">         rLL = 0                                                                                                                                                                                                                                    </t>
  </si>
  <si>
    <t xml:space="preserve">         CtrL = rev   </t>
  </si>
  <si>
    <t xml:space="preserve">         USE2 = Or_r </t>
  </si>
  <si>
    <t>Verify freeze protection heat trace alarms at display on the panel.</t>
  </si>
  <si>
    <t>Verify no circuits are landed. NOTE: If circuits are landed either de-term or contact contractor to determine if loops can be energized for testing</t>
  </si>
  <si>
    <t xml:space="preserve">        Close all circuit breakers</t>
  </si>
  <si>
    <t>Press and hold (5 seconds) ‘initialize’ button</t>
  </si>
  <si>
    <t>Depress "Lamp Test" and verify all closed breakers are displayed.</t>
  </si>
  <si>
    <t>Trip circuit breakers individually. Verify panel display shows correct circuit alarm and alarm is generated in Cimplicity. Reset each breaker and confirm both local and PLC alarms clear before moving on to next circuit.</t>
  </si>
  <si>
    <t>Switch HOA Sw to OFF, confirm 24V on TB1 points #3 and #4 or confirm cimplicity animation</t>
  </si>
  <si>
    <t>Switch HOA Sw to HAND,confirm 24V on TB1 points #3 and #4 or confirm cimplicity animation</t>
  </si>
  <si>
    <t>Switch HOA Sw to AUTO, confirm 0V on TB1 points #3 and #4 or confirm cimplicity animation</t>
  </si>
  <si>
    <t>Power panel off via disconnect, confirm 24V on TB1 points #3 and #4 or confirm cimplicity animation</t>
  </si>
  <si>
    <t>Re-energize panel. Confirm 0V on TB1 points #3 and #4 or confirm cimplicity animation</t>
  </si>
  <si>
    <t xml:space="preserve">Pull the red RTD cable in TB1 to test ambient temperature sensor fail. </t>
  </si>
  <si>
    <t>Confirm FMS alarm: 24V on TB1 points #3 and #4 or confirm cimplicity animation</t>
  </si>
  <si>
    <t>Confirm local panel controller shows sensor fail:</t>
  </si>
  <si>
    <t>Re-terminate RTD cable on TB1. Confirm 0V on TB1 points #3 and #4 or confirm cimplicity animation</t>
  </si>
  <si>
    <t>Turn OFF all  breakers, then press and hold (5 seconds) 'initialize' button</t>
  </si>
  <si>
    <t>Verify cabinet heater is set at 50°F or 10°C if applicable</t>
  </si>
  <si>
    <t>Step</t>
  </si>
  <si>
    <t>Pre Insulation</t>
  </si>
  <si>
    <t>NOTE: Requestor will arrange for loop owner to be present at time requested (through eRequest).  If no SO present we do not do the walk.</t>
  </si>
  <si>
    <t>Create a startup package for the circuit(s) being requested; startup checklist, ECR, panel schedule, and erequest. Save a copy of the ECR/startup checklist in the pre-insulation folder for the building.
*Startup checklist is not required to be saved if ECR is available.</t>
  </si>
  <si>
    <t>Confirm panel schedule installed and correct. NOTE: If load name is not correct pre-insulation will need to be rejected until name can be updated. Contractor responsible for getting load name updated. Walk can be completed but contractor cannot be released for insulation until panel schedule updated.</t>
  </si>
  <si>
    <t>Instruments shall be wrapped for  21W (number of wraps depends on size of tape).</t>
  </si>
  <si>
    <t>Inspect heat trace end to end with SO.</t>
  </si>
  <si>
    <t xml:space="preserve">Confirm all splice boxes, end of line boxes, etc. are accessible (6 ft above catwalks, 8 ft from ground). Heat Trace must be run in flexible conduit when not installed pipe.
NOTE: Stainless tags need to be installed at this point, </t>
  </si>
  <si>
    <t>If all is correct release contractor for insulation.  Approval indicated by completed erequest, if any issues, decline request with comments. Add any issues to startup checklist comments.</t>
  </si>
  <si>
    <t>Post Insulation</t>
  </si>
  <si>
    <t>Retrieve the startup checklist for the circuit(s) requested from the pre-insulation folder that resides within the ECR folder for the building being worked in. Print out the rest of the startup package, panel schedule, ECR, and erequest.</t>
  </si>
  <si>
    <t>Log-in to Cimplicity and verify panel is active, shelve panel alarms to be tested for appropriate time for startup.</t>
  </si>
  <si>
    <t>Assess panel ARC Flash label for PPE requirements</t>
  </si>
  <si>
    <t>Shock  hazard PPE must be worn for non EEW panels.</t>
  </si>
  <si>
    <t>Startup freeze loop per startup checklist</t>
  </si>
  <si>
    <t>Inspect heat trace end to end with SO. 
Note: If no SO present we do not do the walk. SO is responsible for ensuring their high point vents, low point drains, and instrumentation is appropriately heat traced per their system design or P&amp;ID</t>
  </si>
  <si>
    <t>Record heat tape wattage and length on startup checklist. (To use as reference for later step)</t>
  </si>
  <si>
    <t>Confirm all splice boxes, end of line boxes, etc. are accessible (6 ft above catwalks, 8 ft from ground). Confirm stainless tags are correct. If circuit branches, each branch must have an end of line light. Flexible conduit must be sealed when entering PVC jacket of insulation and oriented on bottom to prevent leaks in insulation</t>
  </si>
  <si>
    <t>Record ambient temperature off of panel Controller, to be documented on Freeze Panel PM Amp Log on EasyPower Drive</t>
  </si>
  <si>
    <r>
      <t xml:space="preserve">Place clamp-on ammeter on load side of terminal block for </t>
    </r>
    <r>
      <rPr>
        <sz val="11"/>
        <rFont val="Calibri"/>
        <family val="2"/>
        <scheme val="minor"/>
      </rPr>
      <t xml:space="preserve">circuit to be tested </t>
    </r>
  </si>
  <si>
    <t>Place panel in HAND in order to pull in contactor</t>
  </si>
  <si>
    <t>Energize circuits to be tested one at a time with ammeter in place prior to energizing circuit to ensure a proper max amp reading is recorded.</t>
  </si>
  <si>
    <r>
      <rPr>
        <sz val="7"/>
        <rFont val="Calibri"/>
        <family val="2"/>
        <scheme val="minor"/>
      </rPr>
      <t xml:space="preserve"> </t>
    </r>
    <r>
      <rPr>
        <sz val="11"/>
        <rFont val="Calibri"/>
        <family val="2"/>
        <scheme val="minor"/>
      </rPr>
      <t>Record max startup inrush amps (Record on Freeze Panel PM Amp Log)</t>
    </r>
  </si>
  <si>
    <t>Confirm all end-of-line lights illuminate when energized</t>
  </si>
  <si>
    <r>
      <t xml:space="preserve">After 15 minutes record steady-state amps (Record on Freeze Panel PM Amp Log)
</t>
    </r>
    <r>
      <rPr>
        <i/>
        <sz val="11"/>
        <rFont val="Calibri"/>
        <family val="2"/>
        <scheme val="minor"/>
      </rPr>
      <t>Note: Use [(Length*Wattage)/208v] to get rough approx of steady state amperage value. NOTE: This is a rough value</t>
    </r>
  </si>
  <si>
    <r>
      <rPr>
        <sz val="7"/>
        <rFont val="Calibri"/>
        <family val="2"/>
        <scheme val="minor"/>
      </rPr>
      <t xml:space="preserve"> </t>
    </r>
    <r>
      <rPr>
        <sz val="11"/>
        <rFont val="Calibri"/>
        <family val="2"/>
        <scheme val="minor"/>
      </rPr>
      <t>Press and hold (5 seconds) ‘initialize’ button (if applicable)</t>
    </r>
  </si>
  <si>
    <t>Press ‘Display Test’ to confirm associated LEDs correctly illuminate for new circuits (if applicable)</t>
  </si>
  <si>
    <t>Trip GFCI breaker for circuits to be tested</t>
  </si>
  <si>
    <t>For each tripped circuit confirm FMS animation changes to alarm state by either Viewing Cimplicity or reading 24v at TB1</t>
  </si>
  <si>
    <t>For each tripped circuit confirm correct circuit alarm on panel display (if applicable)</t>
  </si>
  <si>
    <t>Reset all circuit breakers that were tripped for testing</t>
  </si>
  <si>
    <t>Place panel in AUTO</t>
  </si>
  <si>
    <t xml:space="preserve">Update Freeze Panel PM Amp Log </t>
  </si>
  <si>
    <t>Submit FMS request to activate Freeze Loop and alarming</t>
  </si>
  <si>
    <t>NOTE: Requestor will arrange for loop owner to be present at time requested (through eRequest)</t>
  </si>
  <si>
    <t>Create a startup package (Start-up checklist, ECR, Panel Schedule and e-Request) for the circuit(s) being requested.  Save a copy of the Start-up Checklist in the pre-insulation folder for that building.</t>
  </si>
  <si>
    <r>
      <t xml:space="preserve">Confirm panel schedule installed and correct. 
</t>
    </r>
    <r>
      <rPr>
        <i/>
        <sz val="11"/>
        <rFont val="Calibri"/>
        <family val="2"/>
        <scheme val="minor"/>
      </rPr>
      <t>NOTE: If load name is not correct pre-insulation will need to be rejected until name can be updated. Contractor will bger responsible for updating. Walk can be completed but contractor cannot be released for insulation until panel schedule updated.</t>
    </r>
  </si>
  <si>
    <t>Inspect heat trace end to end.</t>
  </si>
  <si>
    <t>Instruct the Loop Owner the following is their responsibility to complete via eRequest to FMS or Physically go to PUB1 2nd fl E/6  BEFORE the post-insulation request can be completed:
-Take the loop out of future, or no paging will work
-Verify/Change PV, high/low alarm setpoints as needed                                                                                                                              -Setup the paging group alarm will page to, and the alarm message as needed
- Failure will delay any Post Insulation requests.</t>
  </si>
  <si>
    <t>NOTE: Requestor must arrange for loop owner to be present at time requested.</t>
  </si>
  <si>
    <r>
      <t>Retrieve the ECR (or startup checklist)* for the circuit(s) requested from the pre-insulation folder that resides within the ECR folder for the building being worked in.  
*</t>
    </r>
    <r>
      <rPr>
        <i/>
        <sz val="11"/>
        <rFont val="Calibri"/>
        <family val="2"/>
        <scheme val="minor"/>
      </rPr>
      <t>Startup checklist is not required to be saved if ECR is available.</t>
    </r>
  </si>
  <si>
    <t xml:space="preserve">Ensure circuit has been removed from the future class in Cimplicity and the description matches EZP. </t>
  </si>
  <si>
    <r>
      <t>Confirm process variable temperature reading is any value other than 1562</t>
    </r>
    <r>
      <rPr>
        <sz val="11"/>
        <rFont val="Calibri"/>
        <family val="2"/>
      </rPr>
      <t xml:space="preserve">°F </t>
    </r>
    <r>
      <rPr>
        <sz val="11"/>
        <rFont val="Calibri"/>
        <family val="2"/>
        <scheme val="minor"/>
      </rPr>
      <t xml:space="preserve">on Cimplicity screen and local panel touch screen as applicable. </t>
    </r>
  </si>
  <si>
    <t>Startup loop per startup checklist.  
Note:All labels are required to be stainless tags for exterior</t>
  </si>
  <si>
    <r>
      <t xml:space="preserve">Check continuity phase-phase and phase-ground on load side of loop contatctor. 
</t>
    </r>
    <r>
      <rPr>
        <i/>
        <sz val="11"/>
        <rFont val="Calibri"/>
        <family val="2"/>
        <scheme val="minor"/>
      </rPr>
      <t>NOTE: Phase to Phase reading will show continuity</t>
    </r>
  </si>
  <si>
    <t>Place clamp-on ammeter on load side of contactor for  loop to be tested.</t>
  </si>
  <si>
    <t>Energize circuit to be tested.</t>
  </si>
  <si>
    <t>Place loop in manual and set percentage to 100%.</t>
  </si>
  <si>
    <t>Activate loops one at a time (noting inrush current), then wait at least 10 minutes after each loop activation to confirm the correct loop heats up. This confirms proper wiring of heat tape and RTD.</t>
  </si>
  <si>
    <t>Place loop at 50% output</t>
  </si>
  <si>
    <t>Walk line from end to end, confirm end of line lights are all working, they will be blinking at this point.</t>
  </si>
  <si>
    <t>Place loop into Auto and confirm all setpoints are correct and reset any alarms, global setpoint off, ground fault bypass off. Validate Temp RTD limit 5 sec, RTD fault 25%, low current 0. 
NOTE: If any temperature alarms exist due to FAT, alarm may not be able to be cleared until loop stabilizes.</t>
  </si>
  <si>
    <r>
      <t xml:space="preserve">Allow the PV to increase to SP, after loop reaches set point, verify SSR output reduces to 0%. 
</t>
    </r>
    <r>
      <rPr>
        <i/>
        <sz val="11"/>
        <rFont val="Calibri"/>
        <family val="2"/>
        <scheme val="minor"/>
      </rPr>
      <t>Note: If this does not occur within 15 minutes, STOP the FAT process and reject the eRequest with comments to the requestor loop will not maintian temperature</t>
    </r>
  </si>
  <si>
    <t>Electrical FAT is now complete with system owner</t>
  </si>
  <si>
    <t>Freeze Panel FAT</t>
  </si>
  <si>
    <t>Process Panel FAT</t>
  </si>
  <si>
    <t>Preparation</t>
  </si>
  <si>
    <t>Validate Arc Flash Label is installed</t>
  </si>
  <si>
    <t>What is the Arc Flash Level?</t>
  </si>
  <si>
    <t>What is the Arc Flash Boundary?</t>
  </si>
  <si>
    <t>Is the EEW cover in place? (If not, STJ and contact requestor)</t>
  </si>
  <si>
    <t>Electrical contractor or Intel electrician to provide test heat tape (250W minimum).</t>
  </si>
  <si>
    <t>De-energize panel</t>
  </si>
  <si>
    <t>Verify Cimplicity graphics/push buttons are not in future prior to starting Electrical FAT (No purple on the PLC tab)</t>
  </si>
  <si>
    <t>Set up barricades to the distance of the greater of the Limited Approach Boundary and Arc Flash Boundary</t>
  </si>
  <si>
    <t>0    1    2    3    4</t>
  </si>
  <si>
    <t>N/A</t>
  </si>
  <si>
    <t>Note: The Heat Trace Commissioning Process is available for contractors on the SIPP website</t>
  </si>
  <si>
    <t>Yes         No</t>
  </si>
  <si>
    <t>Verify cimplicity page is built before FAT (STJ if not)</t>
  </si>
  <si>
    <t>Verify the FMS point is landed and reference panel drawing for correct terminal points. 
       NOTE: These points are different for Chromalox and Nelson panel types</t>
  </si>
  <si>
    <t>With HOA switch set to Auto confirm contactor pulls in. 
         Note: Setpoint may need modification based on outside temperature. If outside tempearture is above 40°F, change setpoint to a value higher than outside temperature.</t>
  </si>
  <si>
    <t>Return controller setpoint to 40°F:</t>
  </si>
  <si>
    <t>Submits workorder to FMS to remove panel from FUTURE and enable alarming to electrical resource</t>
  </si>
  <si>
    <t>Pre Insulation FAT</t>
  </si>
  <si>
    <t>Confirm all splice boxes, end of line boxes, etc. are accessible (6 ft above catwalks, 8 ft from ground). Heat trace not ran on piping must be in flexible conduit
        Note: Stainless steel tags should also be installed at this point</t>
  </si>
  <si>
    <r>
      <t xml:space="preserve">This FAT begins </t>
    </r>
    <r>
      <rPr>
        <b/>
        <sz val="14"/>
        <rFont val="Calibri"/>
        <family val="2"/>
        <scheme val="minor"/>
      </rPr>
      <t>after</t>
    </r>
    <r>
      <rPr>
        <sz val="14"/>
        <rFont val="Calibri"/>
        <family val="2"/>
        <scheme val="minor"/>
      </rPr>
      <t xml:space="preserve"> circuit startup has been completed per the standard startup procedure</t>
    </r>
  </si>
  <si>
    <r>
      <rPr>
        <b/>
        <sz val="14"/>
        <rFont val="Calibri"/>
        <family val="2"/>
        <scheme val="minor"/>
      </rPr>
      <t>(*)</t>
    </r>
    <r>
      <rPr>
        <sz val="14"/>
        <rFont val="Calibri"/>
        <family val="2"/>
        <scheme val="minor"/>
      </rPr>
      <t xml:space="preserve"> Verify on Cimplicity ground fault animations correspond to loop in panel changing state</t>
    </r>
  </si>
  <si>
    <r>
      <rPr>
        <b/>
        <sz val="14"/>
        <rFont val="Calibri"/>
        <family val="2"/>
        <scheme val="minor"/>
      </rPr>
      <t>(*)</t>
    </r>
    <r>
      <rPr>
        <sz val="14"/>
        <rFont val="Calibri"/>
        <family val="2"/>
        <scheme val="minor"/>
      </rPr>
      <t xml:space="preserve"> Verify panel initiates ground fault test for both even and odd circuits</t>
    </r>
  </si>
  <si>
    <r>
      <t xml:space="preserve">Change low alarm SP value to a value 15° higher than the </t>
    </r>
    <r>
      <rPr>
        <strike/>
        <sz val="14"/>
        <rFont val="Calibri"/>
        <family val="2"/>
        <scheme val="minor"/>
      </rPr>
      <t xml:space="preserve"> </t>
    </r>
    <r>
      <rPr>
        <sz val="14"/>
        <rFont val="Calibri"/>
        <family val="2"/>
        <scheme val="minor"/>
      </rPr>
      <t xml:space="preserve"> PV temperature reading to create a low temperature alarm. Confirm Cimplicity animation changes to indicate alarm condition. Confirm local panel touch-screen indicates alarm condition (if applicable).</t>
    </r>
  </si>
  <si>
    <r>
      <t>Change low alarm</t>
    </r>
    <r>
      <rPr>
        <strike/>
        <sz val="14"/>
        <rFont val="Calibri"/>
        <family val="2"/>
        <scheme val="minor"/>
      </rPr>
      <t xml:space="preserve">  </t>
    </r>
    <r>
      <rPr>
        <sz val="14"/>
        <rFont val="Calibri"/>
        <family val="2"/>
        <scheme val="minor"/>
      </rPr>
      <t>SP value back to Global value. (NOTE: If alarm condition still exists, temporarily change the low alarm setpoint to a value 15° lower than the  PV temperature reading. Confirm alarm stays latched on Cimplicity screen and local panel touch-screen (if applicable).</t>
    </r>
  </si>
  <si>
    <r>
      <t xml:space="preserve">Close disconnect and open cabinet by </t>
    </r>
    <r>
      <rPr>
        <u/>
        <sz val="14"/>
        <color theme="1"/>
        <rFont val="Calibri"/>
        <family val="2"/>
        <scheme val="minor"/>
      </rPr>
      <t>gently</t>
    </r>
    <r>
      <rPr>
        <sz val="14"/>
        <color theme="1"/>
        <rFont val="Calibri"/>
        <family val="2"/>
        <scheme val="minor"/>
      </rPr>
      <t xml:space="preserve"> defeating disconnect with paper clip/screwdriver. 
     Note: Alarm light will flash. Put HOA switch in hand to clear alarm</t>
    </r>
  </si>
  <si>
    <r>
      <t xml:space="preserve">        To change setpoint on </t>
    </r>
    <r>
      <rPr>
        <b/>
        <sz val="14"/>
        <color theme="1"/>
        <rFont val="Calibri"/>
        <family val="2"/>
        <scheme val="minor"/>
      </rPr>
      <t>1603 controller,</t>
    </r>
    <r>
      <rPr>
        <sz val="14"/>
        <color theme="1"/>
        <rFont val="Calibri"/>
        <family val="2"/>
        <scheme val="minor"/>
      </rPr>
      <t xml:space="preserve"> press enter key, arrow key to change temp, and press enter key again</t>
    </r>
  </si>
  <si>
    <r>
      <t xml:space="preserve">        To change setpoint on </t>
    </r>
    <r>
      <rPr>
        <b/>
        <sz val="14"/>
        <color theme="1"/>
        <rFont val="Calibri"/>
        <family val="2"/>
        <scheme val="minor"/>
      </rPr>
      <t>6040 controller</t>
    </r>
    <r>
      <rPr>
        <sz val="14"/>
        <color theme="1"/>
        <rFont val="Calibri"/>
        <family val="2"/>
        <scheme val="minor"/>
      </rPr>
      <t>,  press FUNC key until SP is displayed, arrow key to change temp, and press FUNC key again</t>
    </r>
  </si>
  <si>
    <r>
      <t xml:space="preserve">     </t>
    </r>
    <r>
      <rPr>
        <b/>
        <sz val="14"/>
        <color theme="1"/>
        <rFont val="Calibri"/>
        <family val="2"/>
        <scheme val="minor"/>
      </rPr>
      <t>6040 controller</t>
    </r>
    <r>
      <rPr>
        <sz val="14"/>
        <color theme="1"/>
        <rFont val="Calibri"/>
        <family val="2"/>
        <scheme val="minor"/>
      </rPr>
      <t xml:space="preserve"> shows "open"</t>
    </r>
  </si>
  <si>
    <r>
      <t xml:space="preserve">     </t>
    </r>
    <r>
      <rPr>
        <b/>
        <sz val="14"/>
        <color theme="1"/>
        <rFont val="Calibri"/>
        <family val="2"/>
        <scheme val="minor"/>
      </rPr>
      <t>1603</t>
    </r>
    <r>
      <rPr>
        <sz val="14"/>
        <color theme="1"/>
        <rFont val="Calibri"/>
        <family val="2"/>
        <scheme val="minor"/>
      </rPr>
      <t xml:space="preserve"> </t>
    </r>
    <r>
      <rPr>
        <b/>
        <sz val="14"/>
        <color theme="1"/>
        <rFont val="Calibri"/>
        <family val="2"/>
        <scheme val="minor"/>
      </rPr>
      <t>controller</t>
    </r>
    <r>
      <rPr>
        <sz val="14"/>
        <color theme="1"/>
        <rFont val="Calibri"/>
        <family val="2"/>
        <scheme val="minor"/>
      </rPr>
      <t xml:space="preserve"> shows 1500</t>
    </r>
  </si>
  <si>
    <r>
      <t xml:space="preserve">Adjust setpoint to 40F on </t>
    </r>
    <r>
      <rPr>
        <b/>
        <sz val="14"/>
        <color theme="1"/>
        <rFont val="Calibri"/>
        <family val="2"/>
        <scheme val="minor"/>
      </rPr>
      <t>6040 controller</t>
    </r>
    <r>
      <rPr>
        <sz val="14"/>
        <color theme="1"/>
        <rFont val="Calibri"/>
        <family val="2"/>
        <scheme val="minor"/>
      </rPr>
      <t>,  press FUNC key until SP is displayed, arrow key to change temp, and press FUNC key again</t>
    </r>
  </si>
  <si>
    <r>
      <t xml:space="preserve">Adjust setpoint to 40F on </t>
    </r>
    <r>
      <rPr>
        <b/>
        <sz val="14"/>
        <color theme="1"/>
        <rFont val="Calibri"/>
        <family val="2"/>
        <scheme val="minor"/>
      </rPr>
      <t>1603 controller,</t>
    </r>
    <r>
      <rPr>
        <sz val="14"/>
        <color theme="1"/>
        <rFont val="Calibri"/>
        <family val="2"/>
        <scheme val="minor"/>
      </rPr>
      <t xml:space="preserve"> press enter key, arrow key to change temp, and press enter key again</t>
    </r>
  </si>
  <si>
    <t>Updated Cover Sheet to Current Version
Combined multiple Excel Files into One Excel Doc</t>
  </si>
  <si>
    <t>C. Picard/J. Armas</t>
  </si>
  <si>
    <r>
      <t xml:space="preserve">Program </t>
    </r>
    <r>
      <rPr>
        <b/>
        <sz val="14"/>
        <color theme="1"/>
        <rFont val="Calibri"/>
        <family val="2"/>
        <scheme val="minor"/>
      </rPr>
      <t>Chromalox 1603E</t>
    </r>
    <r>
      <rPr>
        <sz val="14"/>
        <color theme="1"/>
        <rFont val="Calibri"/>
        <family val="2"/>
        <scheme val="minor"/>
      </rPr>
      <t xml:space="preserve"> controller comes from Vendor Pre-programmed with below settings:                                                                                                                            Verify setpoint is 41deg F
     P1 = 4(deg C), 12(deg F)</t>
    </r>
  </si>
  <si>
    <t>Setup = DIF.p 0.1</t>
  </si>
  <si>
    <r>
      <t xml:space="preserve">Program </t>
    </r>
    <r>
      <rPr>
        <b/>
        <sz val="14"/>
        <color theme="1"/>
        <rFont val="Calibri"/>
        <family val="2"/>
        <scheme val="minor"/>
      </rPr>
      <t>Chromalox</t>
    </r>
    <r>
      <rPr>
        <sz val="14"/>
        <color theme="1"/>
        <rFont val="Calibri"/>
        <family val="2"/>
        <scheme val="minor"/>
      </rPr>
      <t xml:space="preserve"> </t>
    </r>
    <r>
      <rPr>
        <b/>
        <sz val="14"/>
        <color theme="1"/>
        <rFont val="Calibri"/>
        <family val="2"/>
        <scheme val="minor"/>
      </rPr>
      <t>6040</t>
    </r>
    <r>
      <rPr>
        <sz val="14"/>
        <color theme="1"/>
        <rFont val="Calibri"/>
        <family val="2"/>
        <scheme val="minor"/>
      </rPr>
      <t xml:space="preserve"> controller with below settings: 
Verify setpoint is 41deg F (Main screen press far right 'Func' button until SP is displayed) 
Steps for entering Setup, Config an OPR. 
Press and hold far right 'Func' button then press down arrow key. This enters menu. Use arrow keys to toggle to Setup, Config or OPTR. Unlock code is Setup -10, Config - 20, OPR none)     </t>
    </r>
  </si>
  <si>
    <t xml:space="preserve">     HS = Select FUN button 3 times, set to 0.1 </t>
  </si>
  <si>
    <t>Updated settings selection in Freeze Panel tab to include setting set point to 41 for both 1603E and 6040. Also include HS setting for 1603E and DIF.p to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</si>
</sst>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F&quot;;[Red]\-#,##0\ &quot;F&quot;"/>
    <numFmt numFmtId="165" formatCode="#,##0.00\ &quot;F&quot;;[Red]\-#,##0.00\ &quot;F&quot;"/>
  </numFmts>
  <fonts count="24" x14ac:knownFonts="1">
    <font>
      <sz val="11"/>
      <color theme="1"/>
      <name val="Calibri"/>
      <family val="2"/>
      <scheme val="minor"/>
    </font>
    <font>
      <sz val="12"/>
      <name val="Calibri"/>
      <family val="2"/>
      <scheme val="minor"/>
    </font>
    <font>
      <sz val="11"/>
      <color rgb="FFFF0000"/>
      <name val="Calibri"/>
      <family val="2"/>
      <scheme val="minor"/>
    </font>
    <font>
      <b/>
      <sz val="11"/>
      <color theme="1"/>
      <name val="Calibri"/>
      <family val="2"/>
      <scheme val="minor"/>
    </font>
    <font>
      <b/>
      <sz val="10"/>
      <color rgb="FFFF0000"/>
      <name val="Calibri"/>
      <family val="2"/>
    </font>
    <font>
      <sz val="10"/>
      <name val="Arial"/>
      <family val="2"/>
    </font>
    <font>
      <b/>
      <sz val="12"/>
      <name val="Arial"/>
      <family val="2"/>
    </font>
    <font>
      <sz val="10"/>
      <name val="MS Sans Serif"/>
    </font>
    <font>
      <sz val="10"/>
      <name val="Arial"/>
    </font>
    <font>
      <sz val="11"/>
      <color rgb="FFFF0000"/>
      <name val="Calibri"/>
      <family val="2"/>
    </font>
    <font>
      <sz val="11"/>
      <name val="Calibri"/>
      <family val="2"/>
    </font>
    <font>
      <sz val="11"/>
      <name val="Calibri"/>
      <family val="2"/>
      <scheme val="minor"/>
    </font>
    <font>
      <sz val="11"/>
      <color rgb="FFFF0000"/>
      <name val="Arial"/>
      <family val="2"/>
    </font>
    <font>
      <b/>
      <sz val="11"/>
      <name val="Calibri"/>
      <family val="2"/>
      <scheme val="minor"/>
    </font>
    <font>
      <sz val="7"/>
      <name val="Calibri"/>
      <family val="2"/>
      <scheme val="minor"/>
    </font>
    <font>
      <i/>
      <sz val="11"/>
      <name val="Calibri"/>
      <family val="2"/>
      <scheme val="minor"/>
    </font>
    <font>
      <sz val="14"/>
      <color theme="1"/>
      <name val="Calibri"/>
      <family val="2"/>
      <scheme val="minor"/>
    </font>
    <font>
      <b/>
      <sz val="14"/>
      <color theme="1"/>
      <name val="Calibri"/>
      <family val="2"/>
      <scheme val="minor"/>
    </font>
    <font>
      <b/>
      <sz val="16"/>
      <color theme="1"/>
      <name val="Calibri"/>
      <family val="2"/>
      <scheme val="minor"/>
    </font>
    <font>
      <b/>
      <sz val="14"/>
      <name val="Calibri"/>
      <family val="2"/>
      <scheme val="minor"/>
    </font>
    <font>
      <b/>
      <sz val="16"/>
      <name val="Calibri"/>
      <family val="2"/>
      <scheme val="minor"/>
    </font>
    <font>
      <sz val="14"/>
      <name val="Calibri"/>
      <family val="2"/>
      <scheme val="minor"/>
    </font>
    <font>
      <strike/>
      <sz val="14"/>
      <name val="Calibri"/>
      <family val="2"/>
      <scheme val="minor"/>
    </font>
    <font>
      <u/>
      <sz val="14"/>
      <color theme="1"/>
      <name val="Calibri"/>
      <family val="2"/>
      <scheme val="minor"/>
    </font>
  </fonts>
  <fills count="3">
    <fill>
      <patternFill patternType="none"/>
    </fill>
    <fill>
      <patternFill patternType="gray125"/>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0">
    <xf numFmtId="0" fontId="0" fillId="0" borderId="0"/>
    <xf numFmtId="0" fontId="5" fillId="0" borderId="0"/>
    <xf numFmtId="0" fontId="6" fillId="0" borderId="2" applyNumberFormat="0" applyAlignment="0" applyProtection="0">
      <alignment horizontal="left" vertical="center"/>
    </xf>
    <xf numFmtId="0" fontId="6" fillId="0" borderId="3">
      <alignment horizontal="left" vertical="center"/>
    </xf>
    <xf numFmtId="38" fontId="7" fillId="0" borderId="0" applyFont="0" applyFill="0" applyBorder="0" applyAlignment="0" applyProtection="0"/>
    <xf numFmtId="40" fontId="7" fillId="0" borderId="0" applyFont="0" applyFill="0" applyBorder="0" applyAlignment="0" applyProtection="0"/>
    <xf numFmtId="164" fontId="7" fillId="0" borderId="0" applyFont="0" applyFill="0" applyBorder="0" applyAlignment="0" applyProtection="0"/>
    <xf numFmtId="165" fontId="7" fillId="0" borderId="0" applyFont="0" applyFill="0" applyBorder="0" applyAlignment="0" applyProtection="0"/>
    <xf numFmtId="165" fontId="7" fillId="0" borderId="0">
      <alignment horizontal="center"/>
    </xf>
    <xf numFmtId="0" fontId="8" fillId="0" borderId="0"/>
  </cellStyleXfs>
  <cellXfs count="53">
    <xf numFmtId="0" fontId="0" fillId="0" borderId="0" xfId="0"/>
    <xf numFmtId="0" fontId="1" fillId="0" borderId="0" xfId="0" applyFont="1"/>
    <xf numFmtId="0" fontId="1" fillId="0" borderId="0" xfId="0" applyFont="1" applyAlignment="1">
      <alignment horizontal="center"/>
    </xf>
    <xf numFmtId="0" fontId="4"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0" xfId="0" applyAlignment="1">
      <alignment horizontal="center"/>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9" fillId="0" borderId="1" xfId="0" applyFont="1" applyBorder="1" applyAlignment="1">
      <alignment vertical="center" wrapText="1"/>
    </xf>
    <xf numFmtId="14" fontId="9" fillId="0" borderId="1" xfId="0" applyNumberFormat="1" applyFont="1" applyBorder="1" applyAlignment="1">
      <alignment vertical="center" wrapText="1"/>
    </xf>
    <xf numFmtId="0" fontId="11" fillId="0" borderId="1" xfId="0" applyFont="1" applyBorder="1" applyAlignment="1">
      <alignment horizontal="center" vertical="center" wrapText="1"/>
    </xf>
    <xf numFmtId="0" fontId="12" fillId="0" borderId="1" xfId="1" applyFont="1" applyBorder="1" applyAlignment="1">
      <alignment wrapText="1"/>
    </xf>
    <xf numFmtId="0" fontId="12" fillId="0" borderId="1" xfId="1" applyFont="1" applyBorder="1"/>
    <xf numFmtId="0" fontId="12" fillId="0" borderId="1" xfId="9" applyFont="1" applyBorder="1" applyAlignment="1">
      <alignment wrapText="1"/>
    </xf>
    <xf numFmtId="0" fontId="12" fillId="0" borderId="4" xfId="9" applyFont="1" applyBorder="1" applyAlignment="1">
      <alignment wrapText="1"/>
    </xf>
    <xf numFmtId="0" fontId="3" fillId="2" borderId="1" xfId="0" applyFont="1" applyFill="1" applyBorder="1" applyAlignment="1">
      <alignment horizontal="center" vertical="center"/>
    </xf>
    <xf numFmtId="0" fontId="3" fillId="2" borderId="1" xfId="0" applyFont="1" applyFill="1" applyBorder="1"/>
    <xf numFmtId="0" fontId="11" fillId="0" borderId="1" xfId="0" applyFont="1" applyBorder="1" applyAlignment="1">
      <alignment horizontal="left" wrapText="1"/>
    </xf>
    <xf numFmtId="0" fontId="0" fillId="0" borderId="0" xfId="0" applyAlignment="1">
      <alignment horizontal="center" vertical="center"/>
    </xf>
    <xf numFmtId="0" fontId="0" fillId="0" borderId="0" xfId="0" applyAlignment="1">
      <alignment wrapText="1"/>
    </xf>
    <xf numFmtId="0" fontId="13" fillId="2" borderId="5" xfId="0" applyFont="1" applyFill="1" applyBorder="1" applyAlignment="1">
      <alignment horizontal="center"/>
    </xf>
    <xf numFmtId="0" fontId="13" fillId="2" borderId="1" xfId="0" applyFont="1" applyFill="1" applyBorder="1" applyAlignment="1">
      <alignment horizontal="center" wrapText="1"/>
    </xf>
    <xf numFmtId="0" fontId="13" fillId="2" borderId="1" xfId="0" applyFont="1" applyFill="1" applyBorder="1" applyAlignment="1">
      <alignment horizontal="center"/>
    </xf>
    <xf numFmtId="0" fontId="11" fillId="0" borderId="0" xfId="0" applyFont="1"/>
    <xf numFmtId="0" fontId="11" fillId="0" borderId="1" xfId="0" applyFont="1" applyBorder="1" applyAlignment="1">
      <alignment horizontal="center"/>
    </xf>
    <xf numFmtId="0" fontId="11" fillId="0" borderId="1" xfId="0" applyFont="1" applyBorder="1" applyAlignment="1">
      <alignment wrapText="1"/>
    </xf>
    <xf numFmtId="0" fontId="2" fillId="0" borderId="1" xfId="0" applyFont="1" applyBorder="1" applyAlignment="1">
      <alignment horizontal="center"/>
    </xf>
    <xf numFmtId="0" fontId="11" fillId="0" borderId="1" xfId="0" applyFont="1" applyBorder="1"/>
    <xf numFmtId="0" fontId="11" fillId="0" borderId="1" xfId="0" applyFont="1" applyBorder="1" applyAlignment="1">
      <alignment horizontal="left" vertical="top" wrapText="1"/>
    </xf>
    <xf numFmtId="0" fontId="11" fillId="0" borderId="1" xfId="0" quotePrefix="1" applyFont="1" applyBorder="1" applyAlignment="1">
      <alignment horizontal="center" vertical="top"/>
    </xf>
    <xf numFmtId="0" fontId="15" fillId="0" borderId="1" xfId="0" applyFont="1" applyBorder="1" applyAlignment="1">
      <alignment horizontal="left" vertical="top" wrapText="1"/>
    </xf>
    <xf numFmtId="0" fontId="11" fillId="0" borderId="0" xfId="0" applyFont="1" applyAlignment="1">
      <alignment horizontal="center" vertical="top"/>
    </xf>
    <xf numFmtId="0" fontId="11" fillId="0" borderId="0" xfId="0" applyFont="1" applyAlignment="1">
      <alignment horizontal="left" vertical="top" wrapText="1"/>
    </xf>
    <xf numFmtId="0" fontId="18" fillId="2" borderId="1" xfId="0" applyFont="1" applyFill="1" applyBorder="1" applyAlignment="1">
      <alignment horizontal="center" wrapText="1"/>
    </xf>
    <xf numFmtId="0" fontId="19" fillId="2" borderId="1" xfId="0" applyFont="1" applyFill="1" applyBorder="1" applyAlignment="1">
      <alignment horizontal="center" wrapText="1"/>
    </xf>
    <xf numFmtId="0" fontId="20" fillId="2" borderId="1" xfId="0" applyFont="1" applyFill="1" applyBorder="1" applyAlignment="1">
      <alignment horizontal="center" wrapText="1"/>
    </xf>
    <xf numFmtId="0" fontId="1" fillId="0" borderId="0" xfId="0" applyFont="1" applyAlignment="1">
      <alignment wrapText="1"/>
    </xf>
    <xf numFmtId="0" fontId="21" fillId="2" borderId="1" xfId="0" applyFont="1" applyFill="1" applyBorder="1"/>
    <xf numFmtId="0" fontId="19" fillId="2" borderId="1" xfId="0" applyFont="1" applyFill="1" applyBorder="1" applyAlignment="1">
      <alignment horizontal="center"/>
    </xf>
    <xf numFmtId="0" fontId="21" fillId="0" borderId="1" xfId="0" applyFont="1" applyBorder="1"/>
    <xf numFmtId="0" fontId="21" fillId="0" borderId="1" xfId="0" applyFont="1" applyBorder="1" applyAlignment="1">
      <alignment wrapText="1"/>
    </xf>
    <xf numFmtId="0" fontId="21" fillId="0" borderId="1" xfId="0" applyFont="1" applyBorder="1" applyAlignment="1">
      <alignment horizontal="center"/>
    </xf>
    <xf numFmtId="0" fontId="21" fillId="0" borderId="1" xfId="0" applyFont="1" applyBorder="1" applyAlignment="1">
      <alignment horizontal="left" wrapText="1"/>
    </xf>
    <xf numFmtId="0" fontId="21" fillId="0" borderId="0" xfId="0" applyFont="1" applyAlignment="1">
      <alignment wrapText="1"/>
    </xf>
    <xf numFmtId="0" fontId="19" fillId="2" borderId="1" xfId="0" applyFont="1" applyFill="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left" wrapText="1"/>
    </xf>
    <xf numFmtId="0" fontId="16" fillId="0" borderId="1" xfId="0" applyFont="1" applyBorder="1"/>
    <xf numFmtId="0" fontId="16" fillId="0" borderId="1" xfId="0" applyFont="1" applyBorder="1" applyAlignment="1">
      <alignment horizontal="left" vertical="center" wrapText="1"/>
    </xf>
    <xf numFmtId="0" fontId="16" fillId="0" borderId="1" xfId="0" applyFont="1" applyBorder="1" applyAlignment="1">
      <alignment horizontal="left" wrapText="1" indent="3"/>
    </xf>
    <xf numFmtId="0" fontId="17" fillId="0" borderId="0" xfId="0" applyFont="1" applyAlignment="1">
      <alignment horizontal="center" vertical="center"/>
    </xf>
  </cellXfs>
  <cellStyles count="10">
    <cellStyle name="Header1" xfId="2" xr:uid="{00000000-0005-0000-0000-000000000000}"/>
    <cellStyle name="Header2" xfId="3" xr:uid="{00000000-0005-0000-0000-000001000000}"/>
    <cellStyle name="Milliers [0]_!!!GO" xfId="4" xr:uid="{00000000-0005-0000-0000-000002000000}"/>
    <cellStyle name="Milliers_!!!GO" xfId="5" xr:uid="{00000000-0005-0000-0000-000003000000}"/>
    <cellStyle name="Monétaire [0]_!!!GO" xfId="6" xr:uid="{00000000-0005-0000-0000-000004000000}"/>
    <cellStyle name="Monétaire_!!!GO" xfId="7" xr:uid="{00000000-0005-0000-0000-000005000000}"/>
    <cellStyle name="Normal" xfId="0" builtinId="0"/>
    <cellStyle name="Normal 2" xfId="1" xr:uid="{00000000-0005-0000-0000-000007000000}"/>
    <cellStyle name="Normal 3" xfId="9" xr:uid="{00000000-0005-0000-0000-000008000000}"/>
    <cellStyle name="STANDARD" xfId="8"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5" Type="http://schemas.openxmlformats.org/officeDocument/2006/relationships/printerSettings" Target="../printerSettings/printerSettings7.bin"/><Relationship Id="rId4" Type="http://schemas.openxmlformats.org/officeDocument/2006/relationships/printerSettings" Target="../printerSettings/printerSettings6.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3"/>
  <sheetViews>
    <sheetView workbookViewId="0">
      <selection activeCell="G17" sqref="G17"/>
    </sheetView>
  </sheetViews>
  <sheetFormatPr defaultRowHeight="14.4" x14ac:dyDescent="0.3"/>
  <cols>
    <col min="1" max="1" width="9.109375" style="5"/>
    <col min="2" max="2" width="53.109375" customWidth="1"/>
    <col min="3" max="3" width="14.44140625" customWidth="1"/>
    <col min="4" max="4" width="9.109375" style="5"/>
    <col min="5" max="5" width="10.6640625" style="5" bestFit="1" customWidth="1"/>
  </cols>
  <sheetData>
    <row r="1" spans="1:5" ht="18" x14ac:dyDescent="0.3">
      <c r="B1" s="52" t="s">
        <v>71</v>
      </c>
    </row>
    <row r="2" spans="1:5" x14ac:dyDescent="0.3">
      <c r="B2" s="5" t="s">
        <v>72</v>
      </c>
    </row>
    <row r="3" spans="1:5" x14ac:dyDescent="0.3">
      <c r="A3" s="3" t="s">
        <v>51</v>
      </c>
      <c r="B3" s="3" t="s">
        <v>52</v>
      </c>
      <c r="C3" s="3" t="s">
        <v>53</v>
      </c>
      <c r="D3" s="3" t="s">
        <v>54</v>
      </c>
      <c r="E3" s="3" t="s">
        <v>55</v>
      </c>
    </row>
    <row r="4" spans="1:5" x14ac:dyDescent="0.3">
      <c r="A4" s="8">
        <v>1</v>
      </c>
      <c r="B4" s="13" t="s">
        <v>59</v>
      </c>
      <c r="C4" s="14" t="s">
        <v>56</v>
      </c>
      <c r="D4" s="8" t="s">
        <v>60</v>
      </c>
      <c r="E4" s="9" t="s">
        <v>57</v>
      </c>
    </row>
    <row r="5" spans="1:5" ht="28.2" x14ac:dyDescent="0.3">
      <c r="A5" s="8">
        <v>1.1000000000000001</v>
      </c>
      <c r="B5" s="13" t="s">
        <v>61</v>
      </c>
      <c r="C5" s="10" t="s">
        <v>58</v>
      </c>
      <c r="D5" s="8" t="s">
        <v>60</v>
      </c>
      <c r="E5" s="11">
        <v>42327</v>
      </c>
    </row>
    <row r="6" spans="1:5" x14ac:dyDescent="0.3">
      <c r="A6" s="8">
        <v>2</v>
      </c>
      <c r="B6" s="10" t="s">
        <v>59</v>
      </c>
      <c r="C6" s="10" t="s">
        <v>56</v>
      </c>
      <c r="D6" s="8" t="s">
        <v>60</v>
      </c>
      <c r="E6" s="8" t="s">
        <v>57</v>
      </c>
    </row>
    <row r="7" spans="1:5" ht="28.2" x14ac:dyDescent="0.3">
      <c r="A7" s="8">
        <v>2.1</v>
      </c>
      <c r="B7" s="13" t="s">
        <v>62</v>
      </c>
      <c r="C7" s="10" t="s">
        <v>58</v>
      </c>
      <c r="D7" s="8" t="s">
        <v>60</v>
      </c>
      <c r="E7" s="9">
        <v>42380</v>
      </c>
    </row>
    <row r="8" spans="1:5" x14ac:dyDescent="0.3">
      <c r="A8" s="8">
        <v>3</v>
      </c>
      <c r="B8" s="10" t="s">
        <v>59</v>
      </c>
      <c r="C8" s="10" t="s">
        <v>56</v>
      </c>
      <c r="D8" s="8" t="s">
        <v>60</v>
      </c>
      <c r="E8" s="8" t="s">
        <v>57</v>
      </c>
    </row>
    <row r="9" spans="1:5" ht="42" x14ac:dyDescent="0.3">
      <c r="A9" s="6">
        <v>3.1</v>
      </c>
      <c r="B9" s="15" t="s">
        <v>63</v>
      </c>
      <c r="C9" s="4" t="s">
        <v>58</v>
      </c>
      <c r="D9" s="6" t="s">
        <v>60</v>
      </c>
      <c r="E9" s="7">
        <v>42402</v>
      </c>
    </row>
    <row r="10" spans="1:5" x14ac:dyDescent="0.3">
      <c r="A10" s="8">
        <v>4</v>
      </c>
      <c r="B10" s="10" t="s">
        <v>59</v>
      </c>
      <c r="C10" s="10" t="s">
        <v>56</v>
      </c>
      <c r="D10" s="8" t="s">
        <v>60</v>
      </c>
      <c r="E10" s="8" t="s">
        <v>57</v>
      </c>
    </row>
    <row r="11" spans="1:5" ht="42" x14ac:dyDescent="0.3">
      <c r="A11" s="6">
        <v>4.0999999999999996</v>
      </c>
      <c r="B11" s="15" t="s">
        <v>64</v>
      </c>
      <c r="C11" s="4" t="s">
        <v>58</v>
      </c>
      <c r="D11" s="6" t="s">
        <v>60</v>
      </c>
      <c r="E11" s="7">
        <v>42422</v>
      </c>
    </row>
    <row r="12" spans="1:5" x14ac:dyDescent="0.3">
      <c r="A12" s="8">
        <v>5</v>
      </c>
      <c r="B12" s="10" t="s">
        <v>59</v>
      </c>
      <c r="C12" s="10" t="s">
        <v>56</v>
      </c>
      <c r="D12" s="8" t="s">
        <v>60</v>
      </c>
      <c r="E12" s="8" t="s">
        <v>57</v>
      </c>
    </row>
    <row r="13" spans="1:5" x14ac:dyDescent="0.3">
      <c r="A13" s="6">
        <v>5.0999999999999996</v>
      </c>
      <c r="B13" s="15" t="s">
        <v>65</v>
      </c>
      <c r="C13" s="6" t="s">
        <v>66</v>
      </c>
      <c r="D13" s="6" t="s">
        <v>60</v>
      </c>
      <c r="E13" s="7">
        <v>42464</v>
      </c>
    </row>
    <row r="14" spans="1:5" x14ac:dyDescent="0.3">
      <c r="A14" s="6">
        <v>5.2</v>
      </c>
      <c r="B14" s="15" t="s">
        <v>67</v>
      </c>
      <c r="C14" s="4" t="s">
        <v>58</v>
      </c>
      <c r="D14" s="6" t="s">
        <v>60</v>
      </c>
      <c r="E14" s="7">
        <v>42465</v>
      </c>
    </row>
    <row r="15" spans="1:5" ht="28.2" x14ac:dyDescent="0.3">
      <c r="A15" s="6">
        <v>5.3</v>
      </c>
      <c r="B15" s="15" t="s">
        <v>68</v>
      </c>
      <c r="C15" s="4"/>
      <c r="D15" s="6" t="s">
        <v>60</v>
      </c>
      <c r="E15" s="7">
        <v>42488</v>
      </c>
    </row>
    <row r="16" spans="1:5" x14ac:dyDescent="0.3">
      <c r="A16" s="6">
        <v>6</v>
      </c>
      <c r="B16" s="4" t="s">
        <v>59</v>
      </c>
      <c r="C16" s="4" t="s">
        <v>56</v>
      </c>
      <c r="D16" s="6" t="s">
        <v>60</v>
      </c>
      <c r="E16" s="6" t="s">
        <v>57</v>
      </c>
    </row>
    <row r="17" spans="1:5" x14ac:dyDescent="0.3">
      <c r="A17" s="6">
        <v>6.1</v>
      </c>
      <c r="B17" s="15" t="s">
        <v>69</v>
      </c>
      <c r="C17" s="4" t="s">
        <v>70</v>
      </c>
      <c r="D17" s="6" t="s">
        <v>60</v>
      </c>
      <c r="E17" s="7">
        <v>43444</v>
      </c>
    </row>
    <row r="18" spans="1:5" x14ac:dyDescent="0.3">
      <c r="A18" s="6">
        <v>7</v>
      </c>
      <c r="B18" s="4" t="s">
        <v>59</v>
      </c>
      <c r="C18" s="4" t="s">
        <v>56</v>
      </c>
      <c r="D18" s="6" t="s">
        <v>60</v>
      </c>
      <c r="E18" s="6" t="s">
        <v>57</v>
      </c>
    </row>
    <row r="19" spans="1:5" ht="28.8" x14ac:dyDescent="0.3">
      <c r="A19" s="6">
        <v>7.1</v>
      </c>
      <c r="B19" s="16" t="s">
        <v>197</v>
      </c>
      <c r="C19" s="4" t="s">
        <v>198</v>
      </c>
      <c r="D19" s="6" t="s">
        <v>60</v>
      </c>
      <c r="E19" s="7">
        <v>43553</v>
      </c>
    </row>
    <row r="20" spans="1:5" x14ac:dyDescent="0.3">
      <c r="A20" s="6">
        <v>8</v>
      </c>
      <c r="B20" s="4" t="s">
        <v>59</v>
      </c>
      <c r="C20" s="4" t="s">
        <v>56</v>
      </c>
      <c r="D20" s="6" t="s">
        <v>60</v>
      </c>
      <c r="E20" s="7" t="s">
        <v>57</v>
      </c>
    </row>
    <row r="21" spans="1:5" ht="42" x14ac:dyDescent="0.3">
      <c r="A21" s="6">
        <v>8.1</v>
      </c>
      <c r="B21" s="16" t="s">
        <v>203</v>
      </c>
      <c r="C21" s="4" t="s">
        <v>66</v>
      </c>
      <c r="D21" s="6" t="s">
        <v>60</v>
      </c>
      <c r="E21" s="7">
        <v>43882</v>
      </c>
    </row>
    <row r="22" spans="1:5" x14ac:dyDescent="0.3">
      <c r="A22" s="6">
        <v>9</v>
      </c>
      <c r="B22" s="4" t="s">
        <v>59</v>
      </c>
      <c r="C22" s="4" t="s">
        <v>56</v>
      </c>
      <c r="D22" s="6" t="s">
        <v>60</v>
      </c>
      <c r="E22" s="7" t="s">
        <v>57</v>
      </c>
    </row>
    <row r="23" spans="1:5" x14ac:dyDescent="0.3">
      <c r="A23" s="6"/>
      <c r="B23" s="4"/>
      <c r="C23" s="4"/>
      <c r="D23" s="6"/>
      <c r="E23" s="6"/>
    </row>
    <row r="24" spans="1:5" x14ac:dyDescent="0.3">
      <c r="A24" s="6"/>
      <c r="B24" s="4"/>
      <c r="C24" s="4"/>
      <c r="D24" s="6"/>
      <c r="E24" s="6"/>
    </row>
    <row r="25" spans="1:5" x14ac:dyDescent="0.3">
      <c r="A25" s="6"/>
      <c r="B25" s="4"/>
      <c r="C25" s="4"/>
      <c r="D25" s="6"/>
      <c r="E25" s="6"/>
    </row>
    <row r="26" spans="1:5" x14ac:dyDescent="0.3">
      <c r="A26" s="6"/>
      <c r="B26" s="4"/>
      <c r="C26" s="4"/>
      <c r="D26" s="6"/>
      <c r="E26" s="6"/>
    </row>
    <row r="27" spans="1:5" x14ac:dyDescent="0.3">
      <c r="A27" s="6"/>
      <c r="B27" s="4"/>
      <c r="C27" s="4"/>
      <c r="D27" s="6"/>
      <c r="E27" s="6"/>
    </row>
    <row r="28" spans="1:5" x14ac:dyDescent="0.3">
      <c r="A28" s="6"/>
      <c r="B28" s="4"/>
      <c r="C28" s="4"/>
      <c r="D28" s="6"/>
      <c r="E28" s="6"/>
    </row>
    <row r="29" spans="1:5" x14ac:dyDescent="0.3">
      <c r="A29" s="6"/>
      <c r="B29" s="4"/>
      <c r="C29" s="4"/>
      <c r="D29" s="6"/>
      <c r="E29" s="6"/>
    </row>
    <row r="30" spans="1:5" x14ac:dyDescent="0.3">
      <c r="A30" s="6"/>
      <c r="B30" s="4"/>
      <c r="C30" s="4"/>
      <c r="D30" s="6"/>
      <c r="E30" s="6"/>
    </row>
    <row r="31" spans="1:5" x14ac:dyDescent="0.3">
      <c r="A31" s="6"/>
      <c r="B31" s="4"/>
      <c r="C31" s="4"/>
      <c r="D31" s="6"/>
      <c r="E31" s="6"/>
    </row>
    <row r="32" spans="1:5" x14ac:dyDescent="0.3">
      <c r="A32" s="6"/>
      <c r="B32" s="4"/>
      <c r="C32" s="4"/>
      <c r="D32" s="6"/>
      <c r="E32" s="6"/>
    </row>
    <row r="33" spans="1:5" x14ac:dyDescent="0.3">
      <c r="A33" s="6"/>
      <c r="B33" s="4"/>
      <c r="C33" s="4"/>
      <c r="D33" s="6"/>
      <c r="E33" s="6"/>
    </row>
  </sheetData>
  <customSheetViews>
    <customSheetView guid="{C144DD5F-CB5B-452B-9253-36DD0BB64C69}">
      <selection activeCell="B21" sqref="B21"/>
      <pageMargins left="0.7" right="0.7" top="0.75" bottom="0.75" header="0.3" footer="0.3"/>
      <pageSetup orientation="portrait" r:id="rId1"/>
    </customSheetView>
  </customSheetViews>
  <pageMargins left="0.7" right="0.7" top="0.75" bottom="0.75" header="0.3" footer="0.3"/>
  <pageSetup scale="93"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fitToPage="1"/>
  </sheetPr>
  <dimension ref="A1:C69"/>
  <sheetViews>
    <sheetView view="pageLayout" zoomScale="115" zoomScaleNormal="130" zoomScalePageLayoutView="115" workbookViewId="0">
      <selection activeCell="B67" sqref="B67:B69"/>
    </sheetView>
  </sheetViews>
  <sheetFormatPr defaultColWidth="9.109375" defaultRowHeight="15.6" x14ac:dyDescent="0.3"/>
  <cols>
    <col min="1" max="1" width="6.33203125" style="1" bestFit="1" customWidth="1"/>
    <col min="2" max="2" width="112.44140625" style="38" customWidth="1"/>
    <col min="3" max="3" width="16.33203125" style="2" customWidth="1"/>
    <col min="4" max="16384" width="9.109375" style="1"/>
  </cols>
  <sheetData>
    <row r="1" spans="1:3" ht="18" x14ac:dyDescent="0.35">
      <c r="A1" s="39"/>
      <c r="B1" s="36" t="s">
        <v>165</v>
      </c>
      <c r="C1" s="40" t="s">
        <v>13</v>
      </c>
    </row>
    <row r="2" spans="1:3" ht="18" x14ac:dyDescent="0.35">
      <c r="A2" s="41">
        <v>1</v>
      </c>
      <c r="B2" s="42" t="s">
        <v>176</v>
      </c>
      <c r="C2" s="43" t="s">
        <v>175</v>
      </c>
    </row>
    <row r="3" spans="1:3" ht="18" x14ac:dyDescent="0.35">
      <c r="A3" s="41">
        <f>A2+1</f>
        <v>2</v>
      </c>
      <c r="B3" s="42" t="s">
        <v>185</v>
      </c>
      <c r="C3" s="43"/>
    </row>
    <row r="4" spans="1:3" ht="36" x14ac:dyDescent="0.35">
      <c r="A4" s="41">
        <f t="shared" ref="A4:A6" si="0">A3+1</f>
        <v>3</v>
      </c>
      <c r="B4" s="42" t="s">
        <v>172</v>
      </c>
      <c r="C4" s="43"/>
    </row>
    <row r="5" spans="1:3" ht="18" x14ac:dyDescent="0.35">
      <c r="A5" s="41">
        <f t="shared" si="0"/>
        <v>4</v>
      </c>
      <c r="B5" s="44" t="s">
        <v>170</v>
      </c>
      <c r="C5" s="43"/>
    </row>
    <row r="6" spans="1:3" ht="18" x14ac:dyDescent="0.35">
      <c r="A6" s="41">
        <f t="shared" si="0"/>
        <v>5</v>
      </c>
      <c r="B6" s="44" t="s">
        <v>15</v>
      </c>
      <c r="C6" s="43"/>
    </row>
    <row r="7" spans="1:3" ht="18" x14ac:dyDescent="0.35">
      <c r="A7" s="39"/>
      <c r="B7" s="36" t="s">
        <v>164</v>
      </c>
      <c r="C7" s="40" t="s">
        <v>13</v>
      </c>
    </row>
    <row r="8" spans="1:3" ht="18" x14ac:dyDescent="0.35">
      <c r="A8" s="41">
        <f>A6+1</f>
        <v>6</v>
      </c>
      <c r="B8" s="45" t="s">
        <v>166</v>
      </c>
      <c r="C8" s="43"/>
    </row>
    <row r="9" spans="1:3" ht="18" x14ac:dyDescent="0.35">
      <c r="A9" s="41">
        <f>A8+1</f>
        <v>7</v>
      </c>
      <c r="B9" s="42" t="s">
        <v>171</v>
      </c>
      <c r="C9" s="43"/>
    </row>
    <row r="10" spans="1:3" ht="18" x14ac:dyDescent="0.35">
      <c r="A10" s="41">
        <f>A9+1</f>
        <v>8</v>
      </c>
      <c r="B10" s="42" t="s">
        <v>77</v>
      </c>
      <c r="C10" s="43"/>
    </row>
    <row r="11" spans="1:3" ht="18" x14ac:dyDescent="0.35">
      <c r="A11" s="41">
        <f t="shared" ref="A11:A16" si="1">A10+1</f>
        <v>9</v>
      </c>
      <c r="B11" s="44" t="s">
        <v>8</v>
      </c>
      <c r="C11" s="43"/>
    </row>
    <row r="12" spans="1:3" ht="18" x14ac:dyDescent="0.35">
      <c r="A12" s="41">
        <f t="shared" si="1"/>
        <v>10</v>
      </c>
      <c r="B12" s="42" t="s">
        <v>169</v>
      </c>
      <c r="C12" s="43" t="s">
        <v>177</v>
      </c>
    </row>
    <row r="13" spans="1:3" ht="18" x14ac:dyDescent="0.35">
      <c r="A13" s="41">
        <f t="shared" si="1"/>
        <v>11</v>
      </c>
      <c r="B13" s="42" t="s">
        <v>167</v>
      </c>
      <c r="C13" s="43" t="s">
        <v>174</v>
      </c>
    </row>
    <row r="14" spans="1:3" ht="18" x14ac:dyDescent="0.35">
      <c r="A14" s="41">
        <f t="shared" si="1"/>
        <v>12</v>
      </c>
      <c r="B14" s="42" t="s">
        <v>168</v>
      </c>
      <c r="C14" s="43"/>
    </row>
    <row r="15" spans="1:3" ht="36" x14ac:dyDescent="0.35">
      <c r="A15" s="41">
        <f t="shared" si="1"/>
        <v>13</v>
      </c>
      <c r="B15" s="42" t="s">
        <v>173</v>
      </c>
      <c r="C15" s="43"/>
    </row>
    <row r="16" spans="1:3" ht="18" x14ac:dyDescent="0.35">
      <c r="A16" s="41">
        <f t="shared" si="1"/>
        <v>14</v>
      </c>
      <c r="B16" s="42" t="s">
        <v>31</v>
      </c>
      <c r="C16" s="43"/>
    </row>
    <row r="17" spans="1:3" ht="18" x14ac:dyDescent="0.35">
      <c r="A17" s="39"/>
      <c r="B17" s="36" t="s">
        <v>32</v>
      </c>
      <c r="C17" s="40" t="s">
        <v>13</v>
      </c>
    </row>
    <row r="18" spans="1:3" ht="18" x14ac:dyDescent="0.35">
      <c r="A18" s="41">
        <f>A16+1</f>
        <v>15</v>
      </c>
      <c r="B18" s="42" t="s">
        <v>34</v>
      </c>
      <c r="C18" s="43"/>
    </row>
    <row r="19" spans="1:3" ht="18" x14ac:dyDescent="0.35">
      <c r="A19" s="41">
        <f>A18+1</f>
        <v>16</v>
      </c>
      <c r="B19" s="42" t="s">
        <v>186</v>
      </c>
      <c r="C19" s="43"/>
    </row>
    <row r="20" spans="1:3" ht="36" x14ac:dyDescent="0.35">
      <c r="A20" s="41">
        <f t="shared" ref="A20:A31" si="2">A19+1</f>
        <v>17</v>
      </c>
      <c r="B20" s="42" t="s">
        <v>19</v>
      </c>
      <c r="C20" s="43"/>
    </row>
    <row r="21" spans="1:3" ht="18" x14ac:dyDescent="0.35">
      <c r="A21" s="41">
        <f t="shared" si="2"/>
        <v>18</v>
      </c>
      <c r="B21" s="42" t="s">
        <v>20</v>
      </c>
      <c r="C21" s="43"/>
    </row>
    <row r="22" spans="1:3" ht="18" x14ac:dyDescent="0.35">
      <c r="A22" s="41">
        <f t="shared" si="2"/>
        <v>19</v>
      </c>
      <c r="B22" s="42" t="s">
        <v>187</v>
      </c>
      <c r="C22" s="43"/>
    </row>
    <row r="23" spans="1:3" ht="54" x14ac:dyDescent="0.35">
      <c r="A23" s="41">
        <f t="shared" si="2"/>
        <v>20</v>
      </c>
      <c r="B23" s="42" t="s">
        <v>35</v>
      </c>
      <c r="C23" s="43"/>
    </row>
    <row r="24" spans="1:3" ht="18" x14ac:dyDescent="0.35">
      <c r="A24" s="41">
        <f t="shared" si="2"/>
        <v>21</v>
      </c>
      <c r="B24" s="42" t="s">
        <v>21</v>
      </c>
      <c r="C24" s="43"/>
    </row>
    <row r="25" spans="1:3" ht="18" x14ac:dyDescent="0.35">
      <c r="A25" s="41">
        <f t="shared" si="2"/>
        <v>22</v>
      </c>
      <c r="B25" s="42" t="s">
        <v>22</v>
      </c>
      <c r="C25" s="43"/>
    </row>
    <row r="26" spans="1:3" ht="18" x14ac:dyDescent="0.35">
      <c r="A26" s="41">
        <f t="shared" si="2"/>
        <v>23</v>
      </c>
      <c r="B26" s="42" t="s">
        <v>36</v>
      </c>
      <c r="C26" s="43"/>
    </row>
    <row r="27" spans="1:3" ht="18" x14ac:dyDescent="0.35">
      <c r="A27" s="41">
        <f t="shared" si="2"/>
        <v>24</v>
      </c>
      <c r="B27" s="42" t="s">
        <v>37</v>
      </c>
      <c r="C27" s="43"/>
    </row>
    <row r="28" spans="1:3" ht="18" x14ac:dyDescent="0.35">
      <c r="A28" s="41">
        <f t="shared" si="2"/>
        <v>25</v>
      </c>
      <c r="B28" s="42" t="s">
        <v>21</v>
      </c>
      <c r="C28" s="43"/>
    </row>
    <row r="29" spans="1:3" ht="18" x14ac:dyDescent="0.35">
      <c r="A29" s="41">
        <f t="shared" si="2"/>
        <v>26</v>
      </c>
      <c r="B29" s="42" t="s">
        <v>22</v>
      </c>
      <c r="C29" s="43"/>
    </row>
    <row r="30" spans="1:3" ht="18" x14ac:dyDescent="0.35">
      <c r="A30" s="41">
        <f>A29+1</f>
        <v>27</v>
      </c>
      <c r="B30" s="42" t="s">
        <v>38</v>
      </c>
      <c r="C30" s="43"/>
    </row>
    <row r="31" spans="1:3" ht="18" x14ac:dyDescent="0.35">
      <c r="A31" s="41">
        <f t="shared" si="2"/>
        <v>28</v>
      </c>
      <c r="B31" s="42" t="s">
        <v>23</v>
      </c>
      <c r="C31" s="43"/>
    </row>
    <row r="32" spans="1:3" ht="18" x14ac:dyDescent="0.35">
      <c r="A32" s="39"/>
      <c r="B32" s="46" t="s">
        <v>9</v>
      </c>
      <c r="C32" s="36" t="s">
        <v>13</v>
      </c>
    </row>
    <row r="33" spans="1:3" ht="18" x14ac:dyDescent="0.35">
      <c r="A33" s="41">
        <f>A31+1</f>
        <v>29</v>
      </c>
      <c r="B33" s="42" t="s">
        <v>25</v>
      </c>
      <c r="C33" s="43"/>
    </row>
    <row r="34" spans="1:3" ht="18" x14ac:dyDescent="0.35">
      <c r="A34" s="41">
        <f>A33+1</f>
        <v>30</v>
      </c>
      <c r="B34" s="42" t="s">
        <v>24</v>
      </c>
      <c r="C34" s="43"/>
    </row>
    <row r="35" spans="1:3" ht="18" x14ac:dyDescent="0.35">
      <c r="A35" s="41">
        <f t="shared" ref="A35:A39" si="3">A34+1</f>
        <v>31</v>
      </c>
      <c r="B35" s="42" t="s">
        <v>27</v>
      </c>
      <c r="C35" s="43"/>
    </row>
    <row r="36" spans="1:3" ht="18" x14ac:dyDescent="0.35">
      <c r="A36" s="41">
        <f t="shared" si="3"/>
        <v>32</v>
      </c>
      <c r="B36" s="42" t="s">
        <v>39</v>
      </c>
      <c r="C36" s="43"/>
    </row>
    <row r="37" spans="1:3" ht="18" x14ac:dyDescent="0.35">
      <c r="A37" s="41">
        <f t="shared" si="3"/>
        <v>33</v>
      </c>
      <c r="B37" s="42" t="s">
        <v>26</v>
      </c>
      <c r="C37" s="43"/>
    </row>
    <row r="38" spans="1:3" ht="18" x14ac:dyDescent="0.35">
      <c r="A38" s="41">
        <f t="shared" si="3"/>
        <v>34</v>
      </c>
      <c r="B38" s="42" t="s">
        <v>0</v>
      </c>
      <c r="C38" s="43"/>
    </row>
    <row r="39" spans="1:3" ht="18" x14ac:dyDescent="0.35">
      <c r="A39" s="41">
        <f t="shared" si="3"/>
        <v>35</v>
      </c>
      <c r="B39" s="42" t="s">
        <v>28</v>
      </c>
      <c r="C39" s="43"/>
    </row>
    <row r="40" spans="1:3" ht="18" x14ac:dyDescent="0.35">
      <c r="A40" s="39"/>
      <c r="B40" s="36" t="s">
        <v>1</v>
      </c>
      <c r="C40" s="36" t="s">
        <v>13</v>
      </c>
    </row>
    <row r="41" spans="1:3" ht="18" x14ac:dyDescent="0.35">
      <c r="A41" s="41">
        <f>A39+1</f>
        <v>36</v>
      </c>
      <c r="B41" s="42" t="s">
        <v>33</v>
      </c>
      <c r="C41" s="43"/>
    </row>
    <row r="42" spans="1:3" ht="36" x14ac:dyDescent="0.35">
      <c r="A42" s="41">
        <f>A41+1</f>
        <v>37</v>
      </c>
      <c r="B42" s="42" t="s">
        <v>40</v>
      </c>
      <c r="C42" s="43"/>
    </row>
    <row r="43" spans="1:3" ht="18" x14ac:dyDescent="0.35">
      <c r="A43" s="41">
        <f t="shared" ref="A43:A65" si="4">A42+1</f>
        <v>38</v>
      </c>
      <c r="B43" s="42" t="s">
        <v>41</v>
      </c>
      <c r="C43" s="43"/>
    </row>
    <row r="44" spans="1:3" ht="18" x14ac:dyDescent="0.35">
      <c r="A44" s="41">
        <f t="shared" si="4"/>
        <v>39</v>
      </c>
      <c r="B44" s="42" t="s">
        <v>42</v>
      </c>
      <c r="C44" s="43"/>
    </row>
    <row r="45" spans="1:3" ht="18" x14ac:dyDescent="0.35">
      <c r="A45" s="41">
        <f t="shared" si="4"/>
        <v>40</v>
      </c>
      <c r="B45" s="42" t="s">
        <v>16</v>
      </c>
      <c r="C45" s="43"/>
    </row>
    <row r="46" spans="1:3" ht="18" x14ac:dyDescent="0.35">
      <c r="A46" s="41">
        <f t="shared" si="4"/>
        <v>41</v>
      </c>
      <c r="B46" s="42" t="s">
        <v>2</v>
      </c>
      <c r="C46" s="43"/>
    </row>
    <row r="47" spans="1:3" ht="18" x14ac:dyDescent="0.35">
      <c r="A47" s="41">
        <f t="shared" si="4"/>
        <v>42</v>
      </c>
      <c r="B47" s="42" t="s">
        <v>3</v>
      </c>
      <c r="C47" s="43"/>
    </row>
    <row r="48" spans="1:3" ht="18" x14ac:dyDescent="0.35">
      <c r="A48" s="41">
        <f t="shared" si="4"/>
        <v>43</v>
      </c>
      <c r="B48" s="42" t="s">
        <v>29</v>
      </c>
      <c r="C48" s="43"/>
    </row>
    <row r="49" spans="1:3" ht="18" x14ac:dyDescent="0.35">
      <c r="A49" s="41">
        <f t="shared" si="4"/>
        <v>44</v>
      </c>
      <c r="B49" s="42" t="s">
        <v>43</v>
      </c>
      <c r="C49" s="43"/>
    </row>
    <row r="50" spans="1:3" ht="36" x14ac:dyDescent="0.35">
      <c r="A50" s="41">
        <f t="shared" si="4"/>
        <v>45</v>
      </c>
      <c r="B50" s="42" t="s">
        <v>47</v>
      </c>
      <c r="C50" s="43"/>
    </row>
    <row r="51" spans="1:3" ht="36" x14ac:dyDescent="0.35">
      <c r="A51" s="41">
        <f t="shared" si="4"/>
        <v>46</v>
      </c>
      <c r="B51" s="42" t="s">
        <v>44</v>
      </c>
      <c r="C51" s="43"/>
    </row>
    <row r="52" spans="1:3" ht="36" x14ac:dyDescent="0.35">
      <c r="A52" s="41">
        <f t="shared" si="4"/>
        <v>47</v>
      </c>
      <c r="B52" s="42" t="s">
        <v>45</v>
      </c>
      <c r="C52" s="43"/>
    </row>
    <row r="53" spans="1:3" ht="54" x14ac:dyDescent="0.35">
      <c r="A53" s="41">
        <f t="shared" si="4"/>
        <v>48</v>
      </c>
      <c r="B53" s="42" t="s">
        <v>46</v>
      </c>
      <c r="C53" s="43"/>
    </row>
    <row r="54" spans="1:3" ht="18" x14ac:dyDescent="0.35">
      <c r="A54" s="41">
        <f t="shared" si="4"/>
        <v>49</v>
      </c>
      <c r="B54" s="42" t="s">
        <v>4</v>
      </c>
      <c r="C54" s="43"/>
    </row>
    <row r="55" spans="1:3" ht="18" x14ac:dyDescent="0.35">
      <c r="A55" s="41">
        <f t="shared" si="4"/>
        <v>50</v>
      </c>
      <c r="B55" s="42" t="s">
        <v>10</v>
      </c>
      <c r="C55" s="43"/>
    </row>
    <row r="56" spans="1:3" ht="54" x14ac:dyDescent="0.35">
      <c r="A56" s="41">
        <f t="shared" si="4"/>
        <v>51</v>
      </c>
      <c r="B56" s="42" t="s">
        <v>188</v>
      </c>
      <c r="C56" s="43"/>
    </row>
    <row r="57" spans="1:3" ht="54" x14ac:dyDescent="0.35">
      <c r="A57" s="41">
        <f t="shared" si="4"/>
        <v>52</v>
      </c>
      <c r="B57" s="42" t="s">
        <v>189</v>
      </c>
      <c r="C57" s="43"/>
    </row>
    <row r="58" spans="1:3" ht="36" x14ac:dyDescent="0.35">
      <c r="A58" s="41">
        <f t="shared" si="4"/>
        <v>53</v>
      </c>
      <c r="B58" s="42" t="s">
        <v>11</v>
      </c>
      <c r="C58" s="43"/>
    </row>
    <row r="59" spans="1:3" ht="54" x14ac:dyDescent="0.35">
      <c r="A59" s="41">
        <f t="shared" si="4"/>
        <v>54</v>
      </c>
      <c r="B59" s="42" t="s">
        <v>17</v>
      </c>
      <c r="C59" s="43"/>
    </row>
    <row r="60" spans="1:3" ht="54" x14ac:dyDescent="0.35">
      <c r="A60" s="41">
        <f t="shared" si="4"/>
        <v>55</v>
      </c>
      <c r="B60" s="42" t="s">
        <v>18</v>
      </c>
      <c r="C60" s="43"/>
    </row>
    <row r="61" spans="1:3" ht="36" x14ac:dyDescent="0.35">
      <c r="A61" s="41">
        <f t="shared" si="4"/>
        <v>56</v>
      </c>
      <c r="B61" s="42" t="s">
        <v>12</v>
      </c>
      <c r="C61" s="43"/>
    </row>
    <row r="62" spans="1:3" ht="18" x14ac:dyDescent="0.35">
      <c r="A62" s="41">
        <f t="shared" si="4"/>
        <v>57</v>
      </c>
      <c r="B62" s="42" t="s">
        <v>48</v>
      </c>
      <c r="C62" s="43"/>
    </row>
    <row r="63" spans="1:3" ht="72" x14ac:dyDescent="0.35">
      <c r="A63" s="41">
        <f t="shared" si="4"/>
        <v>58</v>
      </c>
      <c r="B63" s="42" t="s">
        <v>49</v>
      </c>
      <c r="C63" s="43"/>
    </row>
    <row r="64" spans="1:3" ht="36" x14ac:dyDescent="0.35">
      <c r="A64" s="41">
        <f t="shared" si="4"/>
        <v>59</v>
      </c>
      <c r="B64" s="42" t="s">
        <v>50</v>
      </c>
      <c r="C64" s="43"/>
    </row>
    <row r="65" spans="1:3" ht="36" x14ac:dyDescent="0.35">
      <c r="A65" s="41">
        <f t="shared" si="4"/>
        <v>60</v>
      </c>
      <c r="B65" s="42" t="s">
        <v>7</v>
      </c>
      <c r="C65" s="43"/>
    </row>
    <row r="66" spans="1:3" ht="18" x14ac:dyDescent="0.35">
      <c r="A66" s="39"/>
      <c r="B66" s="36" t="s">
        <v>14</v>
      </c>
      <c r="C66" s="36"/>
    </row>
    <row r="67" spans="1:3" ht="18" x14ac:dyDescent="0.35">
      <c r="A67" s="41">
        <f>A65+1</f>
        <v>61</v>
      </c>
      <c r="B67" s="42" t="s">
        <v>5</v>
      </c>
      <c r="C67" s="43"/>
    </row>
    <row r="68" spans="1:3" ht="18" x14ac:dyDescent="0.35">
      <c r="A68" s="41">
        <f>A67+1</f>
        <v>62</v>
      </c>
      <c r="B68" s="42" t="s">
        <v>6</v>
      </c>
      <c r="C68" s="43"/>
    </row>
    <row r="69" spans="1:3" ht="36" x14ac:dyDescent="0.35">
      <c r="A69" s="41">
        <f>A68+1</f>
        <v>63</v>
      </c>
      <c r="B69" s="42" t="s">
        <v>30</v>
      </c>
      <c r="C69" s="43"/>
    </row>
  </sheetData>
  <customSheetViews>
    <customSheetView guid="{C144DD5F-CB5B-452B-9253-36DD0BB64C69}" scale="130" fitToPage="1">
      <selection activeCell="B29" sqref="B29"/>
      <rowBreaks count="1" manualBreakCount="1">
        <brk id="37" max="16383" man="1"/>
      </rowBreaks>
      <pageMargins left="0.25" right="0.25" top="0.75" bottom="0.75" header="0.3" footer="0.3"/>
      <pageSetup paperSize="9" scale="84" fitToHeight="0" orientation="portrait" r:id="rId1"/>
      <headerFooter>
        <oddHeader>&amp;L&amp;14Process Panel FAT</oddHeader>
        <oddFooter>&amp;L1839_FAT_01 Process Panel FAT Rev 5.0, 12/10/18</oddFooter>
      </headerFooter>
    </customSheetView>
    <customSheetView guid="{2C46864D-45CB-4097-A547-9A71A1FFB81E}" showPageBreaks="1" fitToPage="1" view="pageLayout">
      <selection activeCell="B11" sqref="B11"/>
      <rowBreaks count="1" manualBreakCount="1">
        <brk id="34" max="16383" man="1"/>
      </rowBreaks>
      <pageMargins left="0.25" right="0.25" top="0.75" bottom="0.75" header="0.3" footer="0.3"/>
      <pageSetup paperSize="9" scale="84" fitToHeight="0" orientation="portrait" r:id="rId2"/>
      <headerFooter>
        <oddHeader>&amp;L&amp;14Process Panel FAT</oddHeader>
        <oddFooter>&amp;L1839_FAT_01 Process Panel FAT Rev 3.0 4/5/2016</oddFooter>
      </headerFooter>
    </customSheetView>
    <customSheetView guid="{A06FE673-82CD-45C1-A487-0B9B2CBCEB50}" scale="130" fitToPage="1" topLeftCell="A15">
      <selection activeCell="B25" sqref="B25"/>
      <rowBreaks count="1" manualBreakCount="1">
        <brk id="35" max="16383" man="1"/>
      </rowBreaks>
      <pageMargins left="0.25" right="0.25" top="0.75" bottom="0.75" header="0.3" footer="0.3"/>
      <pageSetup paperSize="9" scale="84" fitToHeight="0" orientation="portrait" r:id="rId3"/>
      <headerFooter>
        <oddHeader>&amp;L&amp;14Process Panel FAT</oddHeader>
        <oddFooter>&amp;L1839_FAT_01 Process Panel FAT Rev 3.0, 2/22/2016</oddFooter>
      </headerFooter>
    </customSheetView>
    <customSheetView guid="{CEF3F8CE-CF6D-440C-BD88-DA5C13A29E12}" scale="130" fitToPage="1" topLeftCell="A3">
      <selection activeCell="C3" sqref="C3"/>
      <rowBreaks count="1" manualBreakCount="1">
        <brk id="35" max="16383" man="1"/>
      </rowBreaks>
      <pageMargins left="0.25" right="0.25" top="0.75" bottom="0.75" header="0.3" footer="0.3"/>
      <pageSetup paperSize="9" scale="84" fitToHeight="0" orientation="portrait" r:id="rId4"/>
      <headerFooter>
        <oddHeader>&amp;L&amp;14Process Panel FAT</oddHeader>
        <oddFooter>&amp;L1839_FAT_01 Process Panel FAT Rev 5.0, 12/10/18</oddFooter>
      </headerFooter>
    </customSheetView>
  </customSheetViews>
  <pageMargins left="0.25" right="0.25" top="0.75" bottom="0.75" header="0.3" footer="0.3"/>
  <pageSetup paperSize="9" scale="74" fitToHeight="0" orientation="portrait" r:id="rId5"/>
  <headerFooter>
    <oddHeader>&amp;C&amp;20 1839_FAT_01 - PROCESS PANEL FAT</oddHeader>
    <oddFooter>&amp;L1839_FAT_01 Rev 9.0&amp;R&amp;P of &amp;N</oddFooter>
  </headerFooter>
  <rowBreaks count="1" manualBreakCount="1">
    <brk id="3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fitToPage="1"/>
  </sheetPr>
  <dimension ref="A1:C55"/>
  <sheetViews>
    <sheetView view="pageLayout" zoomScale="115" zoomScaleNormal="130" zoomScaleSheetLayoutView="85" zoomScalePageLayoutView="115" workbookViewId="0">
      <selection activeCell="B7" sqref="B7"/>
    </sheetView>
  </sheetViews>
  <sheetFormatPr defaultColWidth="94.109375" defaultRowHeight="14.4" x14ac:dyDescent="0.3"/>
  <cols>
    <col min="1" max="1" width="5.5546875" style="20" customWidth="1"/>
    <col min="2" max="2" width="109.44140625" style="21" customWidth="1"/>
    <col min="3" max="3" width="9.6640625" bestFit="1" customWidth="1"/>
    <col min="4" max="27" width="6.88671875" customWidth="1"/>
  </cols>
  <sheetData>
    <row r="1" spans="1:3" ht="21" x14ac:dyDescent="0.4">
      <c r="A1" s="17"/>
      <c r="B1" s="35" t="s">
        <v>163</v>
      </c>
      <c r="C1" s="18" t="s">
        <v>13</v>
      </c>
    </row>
    <row r="2" spans="1:3" ht="18" x14ac:dyDescent="0.35">
      <c r="A2" s="47">
        <v>1</v>
      </c>
      <c r="B2" s="42" t="s">
        <v>176</v>
      </c>
      <c r="C2" s="43" t="s">
        <v>175</v>
      </c>
    </row>
    <row r="3" spans="1:3" ht="18" x14ac:dyDescent="0.35">
      <c r="A3" s="47">
        <f>A2+1</f>
        <v>2</v>
      </c>
      <c r="B3" s="42" t="s">
        <v>185</v>
      </c>
      <c r="C3" s="43"/>
    </row>
    <row r="4" spans="1:3" ht="18" x14ac:dyDescent="0.35">
      <c r="A4" s="47">
        <f t="shared" ref="A4:A18" si="0">A3+1</f>
        <v>3</v>
      </c>
      <c r="B4" s="48" t="s">
        <v>178</v>
      </c>
      <c r="C4" s="49"/>
    </row>
    <row r="5" spans="1:3" ht="18" x14ac:dyDescent="0.35">
      <c r="A5" s="47">
        <f t="shared" si="0"/>
        <v>4</v>
      </c>
      <c r="B5" s="48" t="s">
        <v>73</v>
      </c>
      <c r="C5" s="49"/>
    </row>
    <row r="6" spans="1:3" ht="18" x14ac:dyDescent="0.35">
      <c r="A6" s="47">
        <f t="shared" si="0"/>
        <v>5</v>
      </c>
      <c r="B6" s="48" t="s">
        <v>74</v>
      </c>
      <c r="C6" s="49"/>
    </row>
    <row r="7" spans="1:3" ht="18" x14ac:dyDescent="0.35">
      <c r="A7" s="47">
        <f t="shared" si="0"/>
        <v>6</v>
      </c>
      <c r="B7" s="48" t="s">
        <v>75</v>
      </c>
      <c r="C7" s="49"/>
    </row>
    <row r="8" spans="1:3" ht="18" x14ac:dyDescent="0.35">
      <c r="A8" s="47">
        <f t="shared" si="0"/>
        <v>7</v>
      </c>
      <c r="B8" s="48" t="s">
        <v>76</v>
      </c>
      <c r="C8" s="49"/>
    </row>
    <row r="9" spans="1:3" ht="18" x14ac:dyDescent="0.35">
      <c r="A9" s="47">
        <f t="shared" si="0"/>
        <v>8</v>
      </c>
      <c r="B9" s="48" t="s">
        <v>77</v>
      </c>
      <c r="C9" s="49"/>
    </row>
    <row r="10" spans="1:3" ht="18" x14ac:dyDescent="0.35">
      <c r="A10" s="47">
        <f t="shared" si="0"/>
        <v>9</v>
      </c>
      <c r="B10" s="48" t="s">
        <v>78</v>
      </c>
      <c r="C10" s="49"/>
    </row>
    <row r="11" spans="1:3" ht="36" x14ac:dyDescent="0.35">
      <c r="A11" s="47">
        <f t="shared" si="0"/>
        <v>10</v>
      </c>
      <c r="B11" s="48" t="s">
        <v>179</v>
      </c>
      <c r="C11" s="49"/>
    </row>
    <row r="12" spans="1:3" ht="36" x14ac:dyDescent="0.35">
      <c r="A12" s="47">
        <f t="shared" si="0"/>
        <v>11</v>
      </c>
      <c r="B12" s="48" t="s">
        <v>190</v>
      </c>
      <c r="C12" s="49"/>
    </row>
    <row r="13" spans="1:3" ht="18" x14ac:dyDescent="0.35">
      <c r="A13" s="47">
        <f t="shared" si="0"/>
        <v>12</v>
      </c>
      <c r="B13" s="48" t="s">
        <v>79</v>
      </c>
      <c r="C13" s="49"/>
    </row>
    <row r="14" spans="1:3" ht="58.5" customHeight="1" x14ac:dyDescent="0.35">
      <c r="A14" s="47">
        <f t="shared" si="0"/>
        <v>13</v>
      </c>
      <c r="B14" s="48" t="s">
        <v>199</v>
      </c>
      <c r="C14" s="49"/>
    </row>
    <row r="15" spans="1:3" ht="18" x14ac:dyDescent="0.35">
      <c r="A15" s="47">
        <f t="shared" si="0"/>
        <v>14</v>
      </c>
      <c r="B15" s="48" t="s">
        <v>80</v>
      </c>
      <c r="C15" s="49"/>
    </row>
    <row r="16" spans="1:3" ht="18" x14ac:dyDescent="0.35">
      <c r="A16" s="47">
        <f t="shared" si="0"/>
        <v>15</v>
      </c>
      <c r="B16" s="48" t="s">
        <v>81</v>
      </c>
      <c r="C16" s="49"/>
    </row>
    <row r="17" spans="1:3" ht="18" x14ac:dyDescent="0.35">
      <c r="A17" s="47">
        <f t="shared" si="0"/>
        <v>16</v>
      </c>
      <c r="B17" s="48" t="s">
        <v>82</v>
      </c>
      <c r="C17" s="49"/>
    </row>
    <row r="18" spans="1:3" ht="18" x14ac:dyDescent="0.35">
      <c r="A18" s="47">
        <f t="shared" si="0"/>
        <v>17</v>
      </c>
      <c r="B18" s="48" t="s">
        <v>83</v>
      </c>
      <c r="C18" s="49"/>
    </row>
    <row r="19" spans="1:3" ht="18" x14ac:dyDescent="0.35">
      <c r="A19" s="47">
        <f>A18+1</f>
        <v>18</v>
      </c>
      <c r="B19" s="48" t="s">
        <v>84</v>
      </c>
      <c r="C19" s="49"/>
    </row>
    <row r="20" spans="1:3" ht="18" x14ac:dyDescent="0.35">
      <c r="A20" s="47">
        <f>A18+1</f>
        <v>18</v>
      </c>
      <c r="B20" s="48" t="s">
        <v>85</v>
      </c>
      <c r="C20" s="49"/>
    </row>
    <row r="21" spans="1:3" ht="18" x14ac:dyDescent="0.35">
      <c r="A21" s="47">
        <f t="shared" ref="A21" si="1">A19+1</f>
        <v>19</v>
      </c>
      <c r="B21" s="48" t="s">
        <v>202</v>
      </c>
      <c r="C21" s="49"/>
    </row>
    <row r="22" spans="1:3" ht="90" x14ac:dyDescent="0.35">
      <c r="A22" s="47">
        <v>20</v>
      </c>
      <c r="B22" s="50" t="s">
        <v>201</v>
      </c>
      <c r="C22" s="49"/>
    </row>
    <row r="23" spans="1:3" ht="18" x14ac:dyDescent="0.35">
      <c r="A23" s="47">
        <v>20</v>
      </c>
      <c r="B23" s="50" t="s">
        <v>200</v>
      </c>
      <c r="C23" s="49"/>
    </row>
    <row r="24" spans="1:3" ht="18" x14ac:dyDescent="0.35">
      <c r="A24" s="47">
        <v>20</v>
      </c>
      <c r="B24" s="50" t="s">
        <v>86</v>
      </c>
      <c r="C24" s="49"/>
    </row>
    <row r="25" spans="1:3" ht="18.75" customHeight="1" x14ac:dyDescent="0.35">
      <c r="A25" s="47">
        <v>20</v>
      </c>
      <c r="B25" s="48" t="s">
        <v>87</v>
      </c>
      <c r="C25" s="49"/>
    </row>
    <row r="26" spans="1:3" ht="18" x14ac:dyDescent="0.35">
      <c r="A26" s="47">
        <v>20</v>
      </c>
      <c r="B26" s="44" t="s">
        <v>88</v>
      </c>
      <c r="C26" s="49"/>
    </row>
    <row r="27" spans="1:3" ht="18" x14ac:dyDescent="0.35">
      <c r="A27" s="47">
        <v>20</v>
      </c>
      <c r="B27" s="44" t="s">
        <v>89</v>
      </c>
      <c r="C27" s="49"/>
    </row>
    <row r="28" spans="1:3" ht="18" x14ac:dyDescent="0.35">
      <c r="A28" s="47">
        <v>20</v>
      </c>
      <c r="B28" s="48" t="s">
        <v>90</v>
      </c>
      <c r="C28" s="49"/>
    </row>
    <row r="29" spans="1:3" ht="18" x14ac:dyDescent="0.35">
      <c r="A29" s="47">
        <v>20</v>
      </c>
      <c r="B29" s="48" t="s">
        <v>91</v>
      </c>
      <c r="C29" s="49"/>
    </row>
    <row r="30" spans="1:3" ht="54" x14ac:dyDescent="0.35">
      <c r="A30" s="47">
        <v>20</v>
      </c>
      <c r="B30" s="48" t="s">
        <v>180</v>
      </c>
      <c r="C30" s="49"/>
    </row>
    <row r="31" spans="1:3" ht="36" x14ac:dyDescent="0.35">
      <c r="A31" s="47">
        <v>20</v>
      </c>
      <c r="B31" s="48" t="s">
        <v>191</v>
      </c>
      <c r="C31" s="49"/>
    </row>
    <row r="32" spans="1:3" ht="36" x14ac:dyDescent="0.35">
      <c r="A32" s="47">
        <v>20</v>
      </c>
      <c r="B32" s="48" t="s">
        <v>192</v>
      </c>
      <c r="C32" s="49"/>
    </row>
    <row r="33" spans="1:3" ht="18" x14ac:dyDescent="0.35">
      <c r="A33" s="47">
        <v>20</v>
      </c>
      <c r="B33" s="48" t="s">
        <v>92</v>
      </c>
      <c r="C33" s="49"/>
    </row>
    <row r="34" spans="1:3" ht="36" x14ac:dyDescent="0.35">
      <c r="A34" s="47">
        <v>20</v>
      </c>
      <c r="B34" s="51" t="s">
        <v>93</v>
      </c>
      <c r="C34" s="49"/>
    </row>
    <row r="35" spans="1:3" ht="18" x14ac:dyDescent="0.35">
      <c r="A35" s="47">
        <v>20</v>
      </c>
      <c r="B35" s="48" t="s">
        <v>94</v>
      </c>
      <c r="C35" s="49"/>
    </row>
    <row r="36" spans="1:3" ht="18" x14ac:dyDescent="0.35">
      <c r="A36" s="47">
        <v>20</v>
      </c>
      <c r="B36" s="48" t="s">
        <v>95</v>
      </c>
      <c r="C36" s="49"/>
    </row>
    <row r="37" spans="1:3" ht="18" x14ac:dyDescent="0.35">
      <c r="A37" s="47">
        <v>20</v>
      </c>
      <c r="B37" s="48" t="s">
        <v>96</v>
      </c>
      <c r="C37" s="49"/>
    </row>
    <row r="38" spans="1:3" ht="54" x14ac:dyDescent="0.35">
      <c r="A38" s="47">
        <v>20</v>
      </c>
      <c r="B38" s="48" t="s">
        <v>97</v>
      </c>
      <c r="C38" s="49"/>
    </row>
    <row r="39" spans="1:3" ht="18" x14ac:dyDescent="0.35">
      <c r="A39" s="47">
        <v>20</v>
      </c>
      <c r="B39" s="48" t="s">
        <v>98</v>
      </c>
      <c r="C39" s="49"/>
    </row>
    <row r="40" spans="1:3" ht="18" x14ac:dyDescent="0.35">
      <c r="A40" s="47">
        <v>20</v>
      </c>
      <c r="B40" s="48" t="s">
        <v>99</v>
      </c>
      <c r="C40" s="49"/>
    </row>
    <row r="41" spans="1:3" ht="18" x14ac:dyDescent="0.35">
      <c r="A41" s="47">
        <v>20</v>
      </c>
      <c r="B41" s="48" t="s">
        <v>100</v>
      </c>
      <c r="C41" s="49"/>
    </row>
    <row r="42" spans="1:3" ht="18" x14ac:dyDescent="0.35">
      <c r="A42" s="47">
        <v>20</v>
      </c>
      <c r="B42" s="48" t="s">
        <v>101</v>
      </c>
      <c r="C42" s="49"/>
    </row>
    <row r="43" spans="1:3" ht="15" customHeight="1" x14ac:dyDescent="0.35">
      <c r="A43" s="47">
        <v>20</v>
      </c>
      <c r="B43" s="48" t="s">
        <v>102</v>
      </c>
      <c r="C43" s="49"/>
    </row>
    <row r="44" spans="1:3" ht="18" x14ac:dyDescent="0.35">
      <c r="A44" s="47">
        <v>20</v>
      </c>
      <c r="B44" s="48" t="s">
        <v>103</v>
      </c>
      <c r="C44" s="49"/>
    </row>
    <row r="45" spans="1:3" ht="18" x14ac:dyDescent="0.35">
      <c r="A45" s="47">
        <v>20</v>
      </c>
      <c r="B45" s="48" t="s">
        <v>104</v>
      </c>
      <c r="C45" s="49"/>
    </row>
    <row r="46" spans="1:3" ht="18" x14ac:dyDescent="0.35">
      <c r="A46" s="47">
        <v>20</v>
      </c>
      <c r="B46" s="48" t="s">
        <v>105</v>
      </c>
      <c r="C46" s="49"/>
    </row>
    <row r="47" spans="1:3" ht="18" x14ac:dyDescent="0.35">
      <c r="A47" s="47">
        <v>20</v>
      </c>
      <c r="B47" s="48" t="s">
        <v>193</v>
      </c>
      <c r="C47" s="49"/>
    </row>
    <row r="48" spans="1:3" ht="18" x14ac:dyDescent="0.35">
      <c r="A48" s="47">
        <v>20</v>
      </c>
      <c r="B48" s="48" t="s">
        <v>194</v>
      </c>
      <c r="C48" s="49"/>
    </row>
    <row r="49" spans="1:3" ht="18.75" customHeight="1" x14ac:dyDescent="0.35">
      <c r="A49" s="47">
        <v>20</v>
      </c>
      <c r="B49" s="48" t="s">
        <v>106</v>
      </c>
      <c r="C49" s="49"/>
    </row>
    <row r="50" spans="1:3" ht="18" x14ac:dyDescent="0.35">
      <c r="A50" s="47">
        <v>20</v>
      </c>
      <c r="B50" s="48" t="s">
        <v>107</v>
      </c>
      <c r="C50" s="49"/>
    </row>
    <row r="51" spans="1:3" ht="18" x14ac:dyDescent="0.35">
      <c r="A51" s="47">
        <v>20</v>
      </c>
      <c r="B51" s="48" t="s">
        <v>181</v>
      </c>
      <c r="C51" s="49"/>
    </row>
    <row r="52" spans="1:3" ht="36" x14ac:dyDescent="0.35">
      <c r="A52" s="47">
        <v>20</v>
      </c>
      <c r="B52" s="51" t="s">
        <v>195</v>
      </c>
      <c r="C52" s="49"/>
    </row>
    <row r="53" spans="1:3" ht="36" x14ac:dyDescent="0.35">
      <c r="A53" s="47">
        <v>20</v>
      </c>
      <c r="B53" s="51" t="s">
        <v>196</v>
      </c>
      <c r="C53" s="49"/>
    </row>
    <row r="54" spans="1:3" ht="18" x14ac:dyDescent="0.35">
      <c r="A54" s="47">
        <v>20</v>
      </c>
      <c r="B54" s="48" t="s">
        <v>108</v>
      </c>
      <c r="C54" s="49"/>
    </row>
    <row r="55" spans="1:3" ht="16.5" customHeight="1" x14ac:dyDescent="0.35">
      <c r="A55" s="47">
        <v>20</v>
      </c>
      <c r="B55" s="48" t="s">
        <v>182</v>
      </c>
      <c r="C55" s="49"/>
    </row>
  </sheetData>
  <pageMargins left="0.25" right="0.25" top="0.75" bottom="0.75" header="0.3" footer="0.3"/>
  <pageSetup scale="83" fitToHeight="0" orientation="portrait" r:id="rId1"/>
  <headerFooter>
    <oddHeader>&amp;C&amp;24 1839_FAT_01 - FREEZE PANEL FAT</oddHeader>
    <oddFooter>&amp;L1839_FAT_01 Rev 9.0&amp;R&amp;P of &amp;N</oddFooter>
  </headerFooter>
  <rowBreaks count="1" manualBreakCount="1">
    <brk id="35" max="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24"/>
  <sheetViews>
    <sheetView tabSelected="1" view="pageLayout" zoomScale="130" zoomScaleNormal="145" zoomScaleSheetLayoutView="100" zoomScalePageLayoutView="130" workbookViewId="0">
      <selection activeCell="B10" sqref="B10:B24"/>
    </sheetView>
  </sheetViews>
  <sheetFormatPr defaultColWidth="9.109375" defaultRowHeight="14.4" x14ac:dyDescent="0.3"/>
  <cols>
    <col min="1" max="1" width="8" style="33" customWidth="1"/>
    <col min="2" max="2" width="104.109375" style="34" customWidth="1"/>
    <col min="3" max="3" width="13.6640625" style="25" bestFit="1" customWidth="1"/>
    <col min="4" max="4" width="34.33203125" style="25" bestFit="1" customWidth="1"/>
    <col min="5" max="16384" width="9.109375" style="25"/>
  </cols>
  <sheetData>
    <row r="1" spans="1:3" ht="21" x14ac:dyDescent="0.4">
      <c r="A1" s="23" t="s">
        <v>109</v>
      </c>
      <c r="B1" s="37" t="s">
        <v>183</v>
      </c>
      <c r="C1" s="23" t="s">
        <v>13</v>
      </c>
    </row>
    <row r="2" spans="1:3" x14ac:dyDescent="0.3">
      <c r="A2" s="12">
        <v>1</v>
      </c>
      <c r="B2" s="27" t="s">
        <v>143</v>
      </c>
      <c r="C2" s="27"/>
    </row>
    <row r="3" spans="1:3" ht="28.8" x14ac:dyDescent="0.3">
      <c r="A3" s="12">
        <v>2</v>
      </c>
      <c r="B3" s="19" t="s">
        <v>144</v>
      </c>
      <c r="C3" s="19"/>
    </row>
    <row r="4" spans="1:3" ht="57.6" x14ac:dyDescent="0.3">
      <c r="A4" s="12">
        <v>3</v>
      </c>
      <c r="B4" s="19" t="s">
        <v>145</v>
      </c>
      <c r="C4" s="19"/>
    </row>
    <row r="5" spans="1:3" x14ac:dyDescent="0.3">
      <c r="A5" s="12">
        <v>4</v>
      </c>
      <c r="B5" s="19" t="s">
        <v>146</v>
      </c>
      <c r="C5" s="19"/>
    </row>
    <row r="6" spans="1:3" ht="43.2" x14ac:dyDescent="0.3">
      <c r="A6" s="12">
        <v>5</v>
      </c>
      <c r="B6" s="19" t="s">
        <v>184</v>
      </c>
      <c r="C6" s="19"/>
    </row>
    <row r="7" spans="1:3" ht="28.8" x14ac:dyDescent="0.3">
      <c r="A7" s="12">
        <v>6</v>
      </c>
      <c r="B7" s="19" t="s">
        <v>117</v>
      </c>
      <c r="C7" s="19"/>
    </row>
    <row r="8" spans="1:3" ht="86.4" x14ac:dyDescent="0.3">
      <c r="A8" s="12">
        <v>7</v>
      </c>
      <c r="B8" s="30" t="s">
        <v>147</v>
      </c>
      <c r="C8" s="30"/>
    </row>
    <row r="9" spans="1:3" ht="21" x14ac:dyDescent="0.4">
      <c r="A9" s="24" t="s">
        <v>109</v>
      </c>
      <c r="B9" s="37" t="s">
        <v>118</v>
      </c>
      <c r="C9" s="23"/>
    </row>
    <row r="10" spans="1:3" x14ac:dyDescent="0.3">
      <c r="A10" s="31">
        <v>1</v>
      </c>
      <c r="B10" s="32" t="s">
        <v>148</v>
      </c>
      <c r="C10" s="32"/>
    </row>
    <row r="11" spans="1:3" ht="43.2" x14ac:dyDescent="0.3">
      <c r="A11" s="31">
        <v>2</v>
      </c>
      <c r="B11" s="30" t="s">
        <v>149</v>
      </c>
      <c r="C11" s="30"/>
    </row>
    <row r="12" spans="1:3" x14ac:dyDescent="0.3">
      <c r="A12" s="31">
        <v>3</v>
      </c>
      <c r="B12" s="30" t="s">
        <v>150</v>
      </c>
      <c r="C12" s="30"/>
    </row>
    <row r="13" spans="1:3" ht="28.8" x14ac:dyDescent="0.3">
      <c r="A13" s="31">
        <v>4</v>
      </c>
      <c r="B13" s="30" t="s">
        <v>151</v>
      </c>
      <c r="C13" s="30"/>
    </row>
    <row r="14" spans="1:3" ht="28.8" x14ac:dyDescent="0.3">
      <c r="A14" s="31">
        <v>5</v>
      </c>
      <c r="B14" s="30" t="s">
        <v>152</v>
      </c>
      <c r="C14" s="30"/>
    </row>
    <row r="15" spans="1:3" ht="28.8" x14ac:dyDescent="0.3">
      <c r="A15" s="31">
        <v>6</v>
      </c>
      <c r="B15" s="30" t="s">
        <v>153</v>
      </c>
      <c r="C15" s="30"/>
    </row>
    <row r="16" spans="1:3" x14ac:dyDescent="0.3">
      <c r="A16" s="31">
        <v>7</v>
      </c>
      <c r="B16" s="30" t="s">
        <v>154</v>
      </c>
      <c r="C16" s="30"/>
    </row>
    <row r="17" spans="1:3" x14ac:dyDescent="0.3">
      <c r="A17" s="31">
        <v>8</v>
      </c>
      <c r="B17" s="30" t="s">
        <v>155</v>
      </c>
      <c r="C17" s="30"/>
    </row>
    <row r="18" spans="1:3" x14ac:dyDescent="0.3">
      <c r="A18" s="31">
        <v>9</v>
      </c>
      <c r="B18" s="30" t="s">
        <v>156</v>
      </c>
      <c r="C18" s="30"/>
    </row>
    <row r="19" spans="1:3" ht="28.8" x14ac:dyDescent="0.3">
      <c r="A19" s="31">
        <v>10</v>
      </c>
      <c r="B19" s="30" t="s">
        <v>157</v>
      </c>
      <c r="C19" s="30"/>
    </row>
    <row r="20" spans="1:3" x14ac:dyDescent="0.3">
      <c r="A20" s="31">
        <v>11</v>
      </c>
      <c r="B20" s="30" t="s">
        <v>158</v>
      </c>
      <c r="C20" s="30"/>
    </row>
    <row r="21" spans="1:3" x14ac:dyDescent="0.3">
      <c r="A21" s="31">
        <v>12</v>
      </c>
      <c r="B21" s="30" t="s">
        <v>159</v>
      </c>
      <c r="C21" s="30"/>
    </row>
    <row r="22" spans="1:3" ht="43.2" x14ac:dyDescent="0.3">
      <c r="A22" s="31">
        <v>13</v>
      </c>
      <c r="B22" s="30" t="s">
        <v>160</v>
      </c>
      <c r="C22" s="30"/>
    </row>
    <row r="23" spans="1:3" ht="43.2" x14ac:dyDescent="0.3">
      <c r="A23" s="31">
        <v>14</v>
      </c>
      <c r="B23" s="30" t="s">
        <v>161</v>
      </c>
      <c r="C23" s="29"/>
    </row>
    <row r="24" spans="1:3" x14ac:dyDescent="0.3">
      <c r="A24" s="31">
        <v>15</v>
      </c>
      <c r="B24" s="30" t="s">
        <v>162</v>
      </c>
      <c r="C24" s="29"/>
    </row>
  </sheetData>
  <printOptions horizontalCentered="1"/>
  <pageMargins left="0.25" right="0.25" top="0.75" bottom="0.75" header="0.3" footer="0.3"/>
  <pageSetup fitToHeight="0" orientation="landscape" r:id="rId1"/>
  <headerFooter>
    <oddHeader>&amp;C&amp;20 1839_FAT_01 - PROCESS LOOP FAT</oddHeader>
    <oddFooter>&amp;L1839_FAT_01 Rev 9.0&amp;R&amp;P of &amp;N</oddFooter>
  </headerFooter>
  <rowBreaks count="1" manualBreakCount="1">
    <brk id="8" max="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33"/>
  <sheetViews>
    <sheetView view="pageLayout" topLeftCell="A15" zoomScaleNormal="145" zoomScaleSheetLayoutView="85" workbookViewId="0">
      <selection activeCell="B15" sqref="B15"/>
    </sheetView>
  </sheetViews>
  <sheetFormatPr defaultColWidth="9.109375" defaultRowHeight="14.4" x14ac:dyDescent="0.3"/>
  <cols>
    <col min="1" max="1" width="5" style="33" bestFit="1" customWidth="1"/>
    <col min="2" max="2" width="105.6640625" style="34" customWidth="1"/>
    <col min="3" max="3" width="13.6640625" style="25" bestFit="1" customWidth="1"/>
    <col min="4" max="4" width="34.33203125" style="25" bestFit="1" customWidth="1"/>
    <col min="5" max="16384" width="9.109375" style="25"/>
  </cols>
  <sheetData>
    <row r="1" spans="1:3" ht="21" x14ac:dyDescent="0.4">
      <c r="A1" s="22" t="s">
        <v>109</v>
      </c>
      <c r="B1" s="37" t="s">
        <v>110</v>
      </c>
      <c r="C1" s="24" t="s">
        <v>13</v>
      </c>
    </row>
    <row r="2" spans="1:3" ht="28.8" x14ac:dyDescent="0.3">
      <c r="A2" s="26">
        <v>1</v>
      </c>
      <c r="B2" s="27" t="s">
        <v>111</v>
      </c>
      <c r="C2" s="26"/>
    </row>
    <row r="3" spans="1:3" ht="43.2" x14ac:dyDescent="0.3">
      <c r="A3" s="26">
        <v>2</v>
      </c>
      <c r="B3" s="19" t="s">
        <v>112</v>
      </c>
      <c r="C3" s="26"/>
    </row>
    <row r="4" spans="1:3" ht="43.2" x14ac:dyDescent="0.3">
      <c r="A4" s="26">
        <v>3</v>
      </c>
      <c r="B4" s="27" t="s">
        <v>113</v>
      </c>
      <c r="C4" s="26"/>
    </row>
    <row r="5" spans="1:3" x14ac:dyDescent="0.3">
      <c r="A5" s="26">
        <v>4</v>
      </c>
      <c r="B5" s="19" t="s">
        <v>114</v>
      </c>
      <c r="C5" s="26"/>
    </row>
    <row r="6" spans="1:3" x14ac:dyDescent="0.3">
      <c r="A6" s="26">
        <v>5</v>
      </c>
      <c r="B6" s="27" t="s">
        <v>115</v>
      </c>
      <c r="C6" s="26"/>
    </row>
    <row r="7" spans="1:3" ht="43.2" x14ac:dyDescent="0.3">
      <c r="A7" s="26">
        <v>6</v>
      </c>
      <c r="B7" s="27" t="s">
        <v>116</v>
      </c>
      <c r="C7" s="26"/>
    </row>
    <row r="8" spans="1:3" ht="28.8" x14ac:dyDescent="0.3">
      <c r="A8" s="26">
        <v>7</v>
      </c>
      <c r="B8" s="27" t="s">
        <v>117</v>
      </c>
      <c r="C8" s="26"/>
    </row>
    <row r="9" spans="1:3" ht="21" x14ac:dyDescent="0.4">
      <c r="A9" s="24" t="s">
        <v>109</v>
      </c>
      <c r="B9" s="37" t="s">
        <v>118</v>
      </c>
      <c r="C9" s="24" t="s">
        <v>13</v>
      </c>
    </row>
    <row r="10" spans="1:3" ht="28.8" x14ac:dyDescent="0.3">
      <c r="A10" s="26">
        <v>8</v>
      </c>
      <c r="B10" s="27" t="s">
        <v>119</v>
      </c>
      <c r="C10" s="26"/>
    </row>
    <row r="11" spans="1:3" x14ac:dyDescent="0.3">
      <c r="A11" s="26">
        <v>9</v>
      </c>
      <c r="B11" s="27" t="s">
        <v>120</v>
      </c>
      <c r="C11" s="26"/>
    </row>
    <row r="12" spans="1:3" x14ac:dyDescent="0.3">
      <c r="A12" s="26">
        <v>10</v>
      </c>
      <c r="B12" s="27" t="s">
        <v>121</v>
      </c>
      <c r="C12" s="26"/>
    </row>
    <row r="13" spans="1:3" x14ac:dyDescent="0.3">
      <c r="A13" s="26">
        <v>11</v>
      </c>
      <c r="B13" s="27" t="s">
        <v>122</v>
      </c>
      <c r="C13" s="26"/>
    </row>
    <row r="14" spans="1:3" x14ac:dyDescent="0.3">
      <c r="A14" s="26">
        <v>12</v>
      </c>
      <c r="B14" s="27" t="s">
        <v>123</v>
      </c>
      <c r="C14" s="26"/>
    </row>
    <row r="15" spans="1:3" ht="43.2" x14ac:dyDescent="0.3">
      <c r="A15" s="26">
        <v>14</v>
      </c>
      <c r="B15" s="27" t="s">
        <v>124</v>
      </c>
      <c r="C15" s="26"/>
    </row>
    <row r="16" spans="1:3" x14ac:dyDescent="0.3">
      <c r="A16" s="26">
        <v>15</v>
      </c>
      <c r="B16" s="27" t="s">
        <v>125</v>
      </c>
      <c r="C16" s="26"/>
    </row>
    <row r="17" spans="1:3" ht="43.2" x14ac:dyDescent="0.3">
      <c r="A17" s="26">
        <v>16</v>
      </c>
      <c r="B17" s="27" t="s">
        <v>126</v>
      </c>
      <c r="C17" s="26"/>
    </row>
    <row r="18" spans="1:3" x14ac:dyDescent="0.3">
      <c r="A18" s="26">
        <v>17</v>
      </c>
      <c r="B18" s="27" t="s">
        <v>127</v>
      </c>
      <c r="C18" s="28"/>
    </row>
    <row r="19" spans="1:3" x14ac:dyDescent="0.3">
      <c r="A19" s="26">
        <v>18</v>
      </c>
      <c r="B19" s="27" t="s">
        <v>128</v>
      </c>
      <c r="C19" s="26"/>
    </row>
    <row r="20" spans="1:3" x14ac:dyDescent="0.3">
      <c r="A20" s="26">
        <v>19</v>
      </c>
      <c r="B20" s="27" t="s">
        <v>129</v>
      </c>
      <c r="C20" s="26"/>
    </row>
    <row r="21" spans="1:3" ht="28.8" x14ac:dyDescent="0.3">
      <c r="A21" s="26">
        <v>20</v>
      </c>
      <c r="B21" s="27" t="s">
        <v>130</v>
      </c>
      <c r="C21" s="26"/>
    </row>
    <row r="22" spans="1:3" x14ac:dyDescent="0.3">
      <c r="A22" s="26">
        <v>21</v>
      </c>
      <c r="B22" s="27" t="s">
        <v>131</v>
      </c>
      <c r="C22" s="26"/>
    </row>
    <row r="23" spans="1:3" x14ac:dyDescent="0.3">
      <c r="A23" s="26">
        <v>22</v>
      </c>
      <c r="B23" s="27" t="s">
        <v>132</v>
      </c>
      <c r="C23" s="26"/>
    </row>
    <row r="24" spans="1:3" ht="28.8" x14ac:dyDescent="0.3">
      <c r="A24" s="26">
        <v>23</v>
      </c>
      <c r="B24" s="27" t="s">
        <v>133</v>
      </c>
      <c r="C24" s="26"/>
    </row>
    <row r="25" spans="1:3" x14ac:dyDescent="0.3">
      <c r="A25" s="26">
        <v>24</v>
      </c>
      <c r="B25" s="27" t="s">
        <v>134</v>
      </c>
      <c r="C25" s="26"/>
    </row>
    <row r="26" spans="1:3" x14ac:dyDescent="0.3">
      <c r="A26" s="26">
        <v>25</v>
      </c>
      <c r="B26" s="27" t="s">
        <v>135</v>
      </c>
      <c r="C26" s="26"/>
    </row>
    <row r="27" spans="1:3" x14ac:dyDescent="0.3">
      <c r="A27" s="26">
        <v>26</v>
      </c>
      <c r="B27" s="27" t="s">
        <v>136</v>
      </c>
      <c r="C27" s="26"/>
    </row>
    <row r="28" spans="1:3" x14ac:dyDescent="0.3">
      <c r="A28" s="26">
        <v>27</v>
      </c>
      <c r="B28" s="27" t="s">
        <v>137</v>
      </c>
      <c r="C28" s="26"/>
    </row>
    <row r="29" spans="1:3" x14ac:dyDescent="0.3">
      <c r="A29" s="26">
        <v>28</v>
      </c>
      <c r="B29" s="27" t="s">
        <v>138</v>
      </c>
      <c r="C29" s="26"/>
    </row>
    <row r="30" spans="1:3" x14ac:dyDescent="0.3">
      <c r="A30" s="26">
        <v>29</v>
      </c>
      <c r="B30" s="27" t="s">
        <v>139</v>
      </c>
      <c r="C30" s="26"/>
    </row>
    <row r="31" spans="1:3" x14ac:dyDescent="0.3">
      <c r="A31" s="26">
        <v>30</v>
      </c>
      <c r="B31" s="27" t="s">
        <v>140</v>
      </c>
      <c r="C31" s="26"/>
    </row>
    <row r="32" spans="1:3" x14ac:dyDescent="0.3">
      <c r="A32" s="26">
        <v>31</v>
      </c>
      <c r="B32" s="29" t="s">
        <v>141</v>
      </c>
      <c r="C32" s="26"/>
    </row>
    <row r="33" spans="1:3" x14ac:dyDescent="0.3">
      <c r="A33" s="26">
        <v>32</v>
      </c>
      <c r="B33" s="29" t="s">
        <v>142</v>
      </c>
      <c r="C33" s="26"/>
    </row>
  </sheetData>
  <printOptions horizontalCentered="1"/>
  <pageMargins left="0.25" right="0.25" top="0.75" bottom="0.75" header="0.3" footer="0.3"/>
  <pageSetup fitToHeight="0" orientation="landscape" r:id="rId1"/>
  <headerFooter>
    <oddHeader>&amp;C&amp;20 1839_FAT_01 - FREEZE LOOP FAT</oddHeader>
    <oddFooter>&amp;L1839_FAT_01 Rev 9.0&amp;R&amp;P of &amp;N</oddFooter>
  </headerFooter>
  <rowBreaks count="1" manualBreakCount="1">
    <brk id="14"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Rev. History</vt:lpstr>
      <vt:lpstr>Process Panel FAT</vt:lpstr>
      <vt:lpstr>Freeze Panel FAT</vt:lpstr>
      <vt:lpstr>Process Loop Startup </vt:lpstr>
      <vt:lpstr>Freeze Loop Startup</vt:lpstr>
      <vt:lpstr>'Freeze Loop Startup'!Print_Area</vt:lpstr>
      <vt:lpstr>'Freeze Panel FAT'!Print_Area</vt:lpstr>
      <vt:lpstr>'Process Loop Startup '!Print_Area</vt:lpstr>
    </vt:vector>
  </TitlesOfParts>
  <Company>Intel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jmnewby</dc:creator>
  <cp:keywords>CTPClassification=CTP_NT</cp:keywords>
  <cp:lastModifiedBy>Adam Kielty</cp:lastModifiedBy>
  <cp:lastPrinted>2019-03-29T17:05:49Z</cp:lastPrinted>
  <dcterms:created xsi:type="dcterms:W3CDTF">2011-08-26T19:50:06Z</dcterms:created>
  <dcterms:modified xsi:type="dcterms:W3CDTF">2023-06-01T14:51:39Z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8b625eeb-54f0-44fb-844b-78aaad3a9c23</vt:lpwstr>
  </property>
  <property fmtid="{D5CDD505-2E9C-101B-9397-08002B2CF9AE}" pid="3" name="CTP_TimeStamp">
    <vt:lpwstr>2019-03-09 00:02:09Z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ies>
</file>